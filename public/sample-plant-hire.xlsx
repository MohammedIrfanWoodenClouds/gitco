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shboard2\Trading\"/>
    </mc:Choice>
  </mc:AlternateContent>
  <xr:revisionPtr revIDLastSave="0" documentId="13_ncr:1_{2D92C0CC-FAE7-4643-AD04-6C8E22FA4CA4}" xr6:coauthVersionLast="47" xr6:coauthVersionMax="47" xr10:uidLastSave="{00000000-0000-0000-0000-000000000000}"/>
  <bookViews>
    <workbookView xWindow="-120" yWindow="-120" windowWidth="29040" windowHeight="15720" firstSheet="4" activeTab="10" xr2:uid="{0DA828FC-8CE9-4B0B-B836-E021D6919447}"/>
  </bookViews>
  <sheets>
    <sheet name="Goal- 2026" sheetId="5" r:id="rId1"/>
    <sheet name="Due-2025" sheetId="10" r:id="rId2"/>
    <sheet name="Jan - 2026" sheetId="1" r:id="rId3"/>
    <sheet name="Feb -2026" sheetId="2" r:id="rId4"/>
    <sheet name="Mar - 2026" sheetId="3" r:id="rId5"/>
    <sheet name="Apr -2026" sheetId="4" r:id="rId6"/>
    <sheet name="May - 2026" sheetId="6" r:id="rId7"/>
    <sheet name="June -2026" sheetId="9" r:id="rId8"/>
    <sheet name="Product sales details" sheetId="11" r:id="rId9"/>
    <sheet name="New Order Status" sheetId="12" r:id="rId10"/>
    <sheet name="GITCO - Calibration Certificati" sheetId="13" r:id="rId11"/>
  </sheets>
  <externalReferences>
    <externalReference r:id="rId12"/>
  </externalReferences>
  <definedNames>
    <definedName name="_xlnm._FilterDatabase" localSheetId="5" hidden="1">'Apr -2026'!$A$1:$K$31</definedName>
    <definedName name="_xlnm._FilterDatabase" localSheetId="3" hidden="1">'Feb -2026'!$A$1:$L$26</definedName>
    <definedName name="_xlnm._FilterDatabase" localSheetId="2" hidden="1">'Jan - 2026'!$A$1:$L$22</definedName>
    <definedName name="_xlnm._FilterDatabase" localSheetId="7" hidden="1">'June -2026'!$A$1:$L$37</definedName>
    <definedName name="_xlnm._FilterDatabase" localSheetId="4" hidden="1">'Mar - 2026'!$A$1:$L$27</definedName>
    <definedName name="_xlnm._FilterDatabase" localSheetId="6" hidden="1">'May - 2026'!$A$1:$K$30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3" l="1"/>
  <c r="K16" i="13"/>
  <c r="K19" i="13" s="1"/>
  <c r="K17" i="13"/>
  <c r="I2" i="11" l="1"/>
  <c r="L2" i="11"/>
  <c r="I3" i="11"/>
  <c r="L3" i="11"/>
  <c r="I4" i="11"/>
  <c r="L4" i="11"/>
  <c r="I5" i="11"/>
  <c r="I31" i="11" s="1"/>
  <c r="L5" i="11"/>
  <c r="I6" i="11"/>
  <c r="L6" i="11"/>
  <c r="I7" i="11"/>
  <c r="L7" i="11"/>
  <c r="I8" i="11"/>
  <c r="L8" i="11"/>
  <c r="I9" i="11"/>
  <c r="L9" i="11"/>
  <c r="I10" i="11"/>
  <c r="L10" i="11"/>
  <c r="I11" i="11"/>
  <c r="L11" i="11"/>
  <c r="L12" i="11"/>
  <c r="I13" i="11"/>
  <c r="L13" i="11"/>
  <c r="I14" i="11"/>
  <c r="L14" i="11"/>
  <c r="I15" i="11"/>
  <c r="L15" i="11"/>
  <c r="I16" i="11"/>
  <c r="L16" i="11"/>
  <c r="I17" i="11"/>
  <c r="L17" i="11"/>
  <c r="L18" i="11"/>
  <c r="I19" i="11"/>
  <c r="L19" i="11"/>
  <c r="I20" i="11"/>
  <c r="L20" i="11"/>
  <c r="I21" i="11"/>
  <c r="L21" i="11"/>
  <c r="I22" i="11"/>
  <c r="L22" i="11"/>
  <c r="I23" i="11"/>
  <c r="L23" i="11"/>
  <c r="I24" i="11"/>
  <c r="L24" i="11"/>
  <c r="I25" i="11"/>
  <c r="L25" i="11"/>
  <c r="I26" i="11"/>
  <c r="L26" i="11"/>
  <c r="I27" i="11"/>
  <c r="L27" i="11"/>
  <c r="L28" i="11"/>
  <c r="I30" i="11"/>
  <c r="L30" i="11"/>
  <c r="D31" i="11"/>
  <c r="E31" i="11"/>
  <c r="H31" i="11"/>
  <c r="L31" i="11"/>
  <c r="H37" i="9" l="1"/>
  <c r="G37" i="9"/>
  <c r="J36" i="9"/>
  <c r="G8" i="9"/>
  <c r="J89" i="5"/>
  <c r="J88" i="5"/>
  <c r="J87" i="5"/>
  <c r="J86" i="5"/>
  <c r="J85" i="5"/>
  <c r="J84" i="5"/>
  <c r="J83" i="5"/>
  <c r="J82" i="5"/>
  <c r="J81" i="5"/>
  <c r="J80" i="5"/>
  <c r="J79" i="5"/>
  <c r="J78" i="5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J25" i="5"/>
  <c r="J70" i="5"/>
  <c r="J69" i="5"/>
  <c r="J68" i="5"/>
  <c r="J67" i="5"/>
  <c r="J66" i="5"/>
  <c r="J65" i="5"/>
  <c r="J64" i="5"/>
  <c r="J63" i="5"/>
  <c r="J62" i="5"/>
  <c r="J61" i="5"/>
  <c r="J60" i="5"/>
  <c r="J59" i="5"/>
  <c r="J26" i="5"/>
  <c r="J24" i="5"/>
  <c r="J23" i="5"/>
  <c r="K52" i="9"/>
  <c r="K53" i="9"/>
  <c r="K54" i="9"/>
  <c r="K55" i="9"/>
  <c r="K56" i="9"/>
  <c r="K57" i="9"/>
  <c r="K58" i="9"/>
  <c r="K59" i="9"/>
  <c r="K60" i="9"/>
  <c r="K61" i="9"/>
  <c r="K62" i="9"/>
  <c r="K51" i="9"/>
  <c r="J37" i="9" l="1"/>
  <c r="H34" i="9"/>
  <c r="G34" i="9"/>
  <c r="J31" i="9"/>
  <c r="J30" i="9"/>
  <c r="J21" i="9"/>
  <c r="J19" i="9"/>
  <c r="J16" i="9"/>
  <c r="J5" i="9"/>
  <c r="J17" i="9"/>
  <c r="J25" i="9"/>
  <c r="J29" i="9"/>
  <c r="J32" i="9"/>
  <c r="J33" i="9"/>
  <c r="J35" i="9"/>
  <c r="J28" i="9"/>
  <c r="J27" i="9"/>
  <c r="J26" i="9"/>
  <c r="H8" i="9"/>
  <c r="J6" i="9"/>
  <c r="J34" i="9" l="1"/>
  <c r="J3" i="9"/>
  <c r="J4" i="9"/>
  <c r="J7" i="9"/>
  <c r="J8" i="9"/>
  <c r="J9" i="9"/>
  <c r="J10" i="9"/>
  <c r="J11" i="9"/>
  <c r="J12" i="9"/>
  <c r="J13" i="9"/>
  <c r="J14" i="9"/>
  <c r="J15" i="9"/>
  <c r="J18" i="9"/>
  <c r="J20" i="9"/>
  <c r="J22" i="9"/>
  <c r="J23" i="9"/>
  <c r="J24" i="9"/>
  <c r="C11" i="10"/>
  <c r="J2" i="9"/>
  <c r="I39" i="9"/>
  <c r="J27" i="6"/>
  <c r="J47" i="9"/>
  <c r="G39" i="9"/>
  <c r="H39" i="9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J30" i="6"/>
  <c r="H29" i="6"/>
  <c r="G29" i="6"/>
  <c r="H28" i="6"/>
  <c r="J39" i="9" l="1"/>
  <c r="J48" i="9" s="1"/>
  <c r="J13" i="6"/>
  <c r="J18" i="3"/>
  <c r="H16" i="6"/>
  <c r="J16" i="6" s="1"/>
  <c r="H12" i="6"/>
  <c r="J12" i="6" s="1"/>
  <c r="G8" i="6"/>
  <c r="H4" i="6"/>
  <c r="J4" i="6" s="1"/>
  <c r="H5" i="6"/>
  <c r="J5" i="6" s="1"/>
  <c r="H6" i="6"/>
  <c r="J6" i="6" s="1"/>
  <c r="H7" i="6"/>
  <c r="J7" i="6" s="1"/>
  <c r="H8" i="6"/>
  <c r="H9" i="6"/>
  <c r="J9" i="6" s="1"/>
  <c r="H10" i="6"/>
  <c r="J10" i="6" s="1"/>
  <c r="H11" i="6"/>
  <c r="J11" i="6" s="1"/>
  <c r="H14" i="6"/>
  <c r="J14" i="6" s="1"/>
  <c r="H15" i="6"/>
  <c r="J15" i="6" s="1"/>
  <c r="H17" i="6"/>
  <c r="J17" i="6" s="1"/>
  <c r="H18" i="6"/>
  <c r="J18" i="6" s="1"/>
  <c r="H19" i="6"/>
  <c r="J19" i="6" s="1"/>
  <c r="H20" i="6"/>
  <c r="J20" i="6" s="1"/>
  <c r="H21" i="6"/>
  <c r="J21" i="6" s="1"/>
  <c r="H22" i="6"/>
  <c r="J22" i="6" s="1"/>
  <c r="H23" i="6"/>
  <c r="J23" i="6" s="1"/>
  <c r="H24" i="6"/>
  <c r="J24" i="6" s="1"/>
  <c r="J25" i="6"/>
  <c r="J26" i="6"/>
  <c r="J28" i="6"/>
  <c r="J29" i="6"/>
  <c r="H3" i="6"/>
  <c r="J3" i="6" s="1"/>
  <c r="J2" i="6"/>
  <c r="J43" i="6"/>
  <c r="I33" i="6"/>
  <c r="J8" i="6" l="1"/>
  <c r="J33" i="6" s="1"/>
  <c r="J44" i="6" s="1"/>
  <c r="H33" i="6"/>
  <c r="G33" i="6"/>
  <c r="H30" i="4"/>
  <c r="G30" i="4"/>
  <c r="J31" i="4"/>
  <c r="J30" i="4" l="1"/>
  <c r="J3" i="4" l="1"/>
  <c r="G29" i="4"/>
  <c r="I35" i="4"/>
  <c r="G26" i="4"/>
  <c r="J26" i="4" s="1"/>
  <c r="G28" i="4"/>
  <c r="G27" i="4"/>
  <c r="G25" i="4"/>
  <c r="J2" i="4"/>
  <c r="H22" i="4"/>
  <c r="G22" i="4"/>
  <c r="H21" i="4"/>
  <c r="G21" i="4"/>
  <c r="G20" i="4"/>
  <c r="G19" i="4"/>
  <c r="J19" i="4" s="1"/>
  <c r="H18" i="4"/>
  <c r="G18" i="4"/>
  <c r="J29" i="4" l="1"/>
  <c r="G17" i="4"/>
  <c r="G5" i="4"/>
  <c r="G6" i="4"/>
  <c r="G7" i="4"/>
  <c r="G8" i="4"/>
  <c r="G9" i="4"/>
  <c r="G10" i="4"/>
  <c r="G12" i="4"/>
  <c r="G13" i="4"/>
  <c r="G14" i="4"/>
  <c r="G15" i="4"/>
  <c r="G16" i="4"/>
  <c r="H6" i="4"/>
  <c r="H4" i="4"/>
  <c r="G4" i="4"/>
  <c r="H35" i="4" l="1"/>
  <c r="G35" i="4"/>
  <c r="J7" i="2"/>
  <c r="H9" i="2"/>
  <c r="H19" i="2"/>
  <c r="J19" i="2" s="1"/>
  <c r="H13" i="2"/>
  <c r="H2" i="2"/>
  <c r="J2" i="1"/>
  <c r="H17" i="1"/>
  <c r="J17" i="1" s="1"/>
  <c r="H14" i="1"/>
  <c r="J14" i="1" s="1"/>
  <c r="H13" i="1"/>
  <c r="J13" i="1" s="1"/>
  <c r="H12" i="1"/>
  <c r="J12" i="1" s="1"/>
  <c r="I30" i="2"/>
  <c r="J42" i="4" l="1"/>
  <c r="J28" i="4"/>
  <c r="J27" i="4"/>
  <c r="J25" i="4"/>
  <c r="J22" i="4"/>
  <c r="J21" i="4"/>
  <c r="J20" i="4"/>
  <c r="J18" i="4"/>
  <c r="J17" i="4"/>
  <c r="J16" i="4"/>
  <c r="J15" i="4"/>
  <c r="J14" i="4"/>
  <c r="J13" i="4"/>
  <c r="J12" i="4"/>
  <c r="J10" i="4"/>
  <c r="J9" i="4"/>
  <c r="J8" i="4"/>
  <c r="J7" i="4"/>
  <c r="J6" i="4"/>
  <c r="J5" i="4"/>
  <c r="J4" i="4"/>
  <c r="J35" i="4" l="1"/>
  <c r="J43" i="4" s="1"/>
  <c r="J23" i="3" l="1"/>
  <c r="H25" i="3"/>
  <c r="G25" i="3"/>
  <c r="J21" i="3"/>
  <c r="J17" i="3"/>
  <c r="J15" i="3"/>
  <c r="J25" i="3" l="1"/>
  <c r="H16" i="3"/>
  <c r="G16" i="3"/>
  <c r="G7" i="3"/>
  <c r="G5" i="3" l="1"/>
  <c r="J5" i="3" s="1"/>
  <c r="J3" i="3" l="1"/>
  <c r="J4" i="3"/>
  <c r="J6" i="3"/>
  <c r="J7" i="3"/>
  <c r="J8" i="3"/>
  <c r="J9" i="3"/>
  <c r="J10" i="3"/>
  <c r="J11" i="3"/>
  <c r="J12" i="3"/>
  <c r="J13" i="3"/>
  <c r="J14" i="3"/>
  <c r="J16" i="3"/>
  <c r="J19" i="3"/>
  <c r="J20" i="3"/>
  <c r="J22" i="3"/>
  <c r="J24" i="3"/>
  <c r="J26" i="3"/>
  <c r="J27" i="3"/>
  <c r="J38" i="3"/>
  <c r="I31" i="3"/>
  <c r="H31" i="3"/>
  <c r="G2" i="3"/>
  <c r="G31" i="3" s="1"/>
  <c r="J22" i="2"/>
  <c r="J25" i="2"/>
  <c r="J26" i="2"/>
  <c r="J24" i="2"/>
  <c r="J23" i="2"/>
  <c r="J21" i="2"/>
  <c r="J2" i="3" l="1"/>
  <c r="J31" i="3" s="1"/>
  <c r="J39" i="3" s="1"/>
  <c r="J20" i="2"/>
  <c r="J16" i="2"/>
  <c r="J18" i="2"/>
  <c r="J15" i="2"/>
  <c r="J13" i="2" l="1"/>
  <c r="H12" i="2"/>
  <c r="J12" i="2" s="1"/>
  <c r="G2" i="2" l="1"/>
  <c r="G30" i="2" s="1"/>
  <c r="J9" i="2"/>
  <c r="J38" i="2"/>
  <c r="H30" i="2"/>
  <c r="J11" i="2"/>
  <c r="J10" i="2"/>
  <c r="J8" i="2"/>
  <c r="J6" i="2"/>
  <c r="J5" i="2"/>
  <c r="J4" i="2"/>
  <c r="J3" i="2"/>
  <c r="J4" i="1"/>
  <c r="J5" i="1"/>
  <c r="J6" i="1"/>
  <c r="J7" i="1"/>
  <c r="J8" i="1"/>
  <c r="J9" i="1"/>
  <c r="J10" i="1"/>
  <c r="J11" i="1"/>
  <c r="J15" i="1"/>
  <c r="J16" i="1"/>
  <c r="J18" i="1"/>
  <c r="J19" i="1"/>
  <c r="J20" i="1"/>
  <c r="J21" i="1"/>
  <c r="J22" i="1"/>
  <c r="J3" i="1"/>
  <c r="J30" i="1"/>
  <c r="I24" i="1"/>
  <c r="H24" i="1"/>
  <c r="J2" i="2" l="1"/>
  <c r="J24" i="1"/>
  <c r="J31" i="1" s="1"/>
  <c r="G24" i="1"/>
  <c r="J30" i="2" l="1"/>
  <c r="J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Jithin</author>
    <author/>
  </authors>
  <commentList>
    <comment ref="K6" authorId="0" shapeId="0" xr:uid="{F1CF499A-D46E-496B-8A7F-E674AE20C117}">
      <text>
        <r>
          <rPr>
            <b/>
            <sz val="9"/>
            <color indexed="81"/>
            <rFont val="Tahoma"/>
            <family val="2"/>
          </rPr>
          <t>Jithin:</t>
        </r>
        <r>
          <rPr>
            <sz val="9"/>
            <color indexed="81"/>
            <rFont val="Tahoma"/>
            <family val="2"/>
          </rPr>
          <t xml:space="preserve">
4 UNIT SOLD - 250 QR
4 UNIT SOLD - 400 QR
1 UNIT SOLD - 400 QR</t>
        </r>
      </text>
    </comment>
    <comment ref="K9" authorId="0" shapeId="0" xr:uid="{454974A7-4E71-46A0-B451-B2E6D3E4A64C}">
      <text>
        <r>
          <rPr>
            <b/>
            <sz val="9"/>
            <color indexed="81"/>
            <rFont val="Tahoma"/>
            <family val="2"/>
          </rPr>
          <t>Jithin:</t>
        </r>
        <r>
          <rPr>
            <sz val="9"/>
            <color indexed="81"/>
            <rFont val="Tahoma"/>
            <family val="2"/>
          </rPr>
          <t xml:space="preserve">
Selling price: 1100 Qr, 2800, 1400 QR, 1400 QR, 1300, QR1360, QR 1400,QR 1400
</t>
        </r>
      </text>
    </comment>
    <comment ref="K11" authorId="0" shapeId="0" xr:uid="{EA44787F-BF72-4E05-9451-47C09461855A}">
      <text>
        <r>
          <rPr>
            <b/>
            <sz val="9"/>
            <color indexed="81"/>
            <rFont val="Tahoma"/>
            <family val="2"/>
          </rPr>
          <t>Jithin:</t>
        </r>
        <r>
          <rPr>
            <sz val="9"/>
            <color indexed="81"/>
            <rFont val="Tahoma"/>
            <family val="2"/>
          </rPr>
          <t xml:space="preserve">
1 unit sold 900 QR
1 unit sold 527.76 QR</t>
        </r>
      </text>
    </comment>
    <comment ref="K12" authorId="0" shapeId="0" xr:uid="{26979153-5F35-4191-A024-5A11FA124C78}">
      <text>
        <r>
          <rPr>
            <b/>
            <sz val="9"/>
            <color indexed="81"/>
            <rFont val="Tahoma"/>
            <family val="2"/>
          </rPr>
          <t>Jithin:</t>
        </r>
        <r>
          <rPr>
            <sz val="9"/>
            <color indexed="81"/>
            <rFont val="Tahoma"/>
            <family val="2"/>
          </rPr>
          <t xml:space="preserve">
Sold 4 x 1100 
950 without installation
950 latheefkka
1100 aditya</t>
        </r>
      </text>
    </comment>
    <comment ref="A33" authorId="1" shapeId="0" xr:uid="{F30F200A-A939-4CAC-87CB-A62E036AF860}">
      <text>
        <r>
          <rPr>
            <sz val="8"/>
            <color indexed="81"/>
            <rFont val="Tahoma"/>
            <family val="2"/>
          </rPr>
          <t>Profit per row is calculated as (Selling Price - Landing Cost) * Sold Quantity.
Currency formatted in USD. Modify sample data as needed.</t>
        </r>
      </text>
    </comment>
  </commentList>
</comments>
</file>

<file path=xl/sharedStrings.xml><?xml version="1.0" encoding="utf-8"?>
<sst xmlns="http://schemas.openxmlformats.org/spreadsheetml/2006/main" count="1453" uniqueCount="424">
  <si>
    <t>Date</t>
  </si>
  <si>
    <t>Product Type/Service</t>
  </si>
  <si>
    <t>Quantity</t>
  </si>
  <si>
    <t>Landing Cost</t>
  </si>
  <si>
    <t>Unit Price</t>
  </si>
  <si>
    <t>Selling Price</t>
  </si>
  <si>
    <t>Expenses</t>
  </si>
  <si>
    <t>Workshop Cost</t>
  </si>
  <si>
    <t>Profit</t>
  </si>
  <si>
    <t>Client</t>
  </si>
  <si>
    <t>Invoice Status</t>
  </si>
  <si>
    <t>Payment Status</t>
  </si>
  <si>
    <t>Sent</t>
  </si>
  <si>
    <t>Unpaid</t>
  </si>
  <si>
    <t>OTC</t>
  </si>
  <si>
    <t>Danem Engg</t>
  </si>
  <si>
    <t>Paid</t>
  </si>
  <si>
    <t>Jaidah</t>
  </si>
  <si>
    <t>Qcon Engg</t>
  </si>
  <si>
    <t>Totals:</t>
  </si>
  <si>
    <t xml:space="preserve"> Rental</t>
  </si>
  <si>
    <t xml:space="preserve">Salary </t>
  </si>
  <si>
    <t>Vehicle Expenses</t>
  </si>
  <si>
    <t xml:space="preserve">Telephone </t>
  </si>
  <si>
    <t>Totals</t>
  </si>
  <si>
    <t>Net Profit</t>
  </si>
  <si>
    <t>Outrigger Pad (500x500x50)</t>
  </si>
  <si>
    <t>Global Sources</t>
  </si>
  <si>
    <t>SLI System (BT)</t>
  </si>
  <si>
    <t>Al Anees</t>
  </si>
  <si>
    <t>Recalibration</t>
  </si>
  <si>
    <t>Wolfbox G900Pro</t>
  </si>
  <si>
    <t>GITCO Trd</t>
  </si>
  <si>
    <t>PLI System (FL)</t>
  </si>
  <si>
    <t xml:space="preserve">Medgulf </t>
  </si>
  <si>
    <t xml:space="preserve">Dayim Equipment </t>
  </si>
  <si>
    <t>Al Ansari</t>
  </si>
  <si>
    <t>Ottawa</t>
  </si>
  <si>
    <t xml:space="preserve">Aditya </t>
  </si>
  <si>
    <t>Outrigger Pad (1200X1200X80)</t>
  </si>
  <si>
    <t>NBK</t>
  </si>
  <si>
    <t>Outrigger Pad (1000x1000x60)</t>
  </si>
  <si>
    <t xml:space="preserve">4 Camera System </t>
  </si>
  <si>
    <t>Al Buraq</t>
  </si>
  <si>
    <t xml:space="preserve">Descon </t>
  </si>
  <si>
    <t>National Cranes</t>
  </si>
  <si>
    <t xml:space="preserve">Enova Trading </t>
  </si>
  <si>
    <t>Al Anis</t>
  </si>
  <si>
    <t>Dime Heavy Equipment</t>
  </si>
  <si>
    <t>Jaidah Motors</t>
  </si>
  <si>
    <t xml:space="preserve">Ottawa Construction </t>
  </si>
  <si>
    <t>Khaled Projects</t>
  </si>
  <si>
    <t xml:space="preserve">CRD Cable </t>
  </si>
  <si>
    <t>Silverline</t>
  </si>
  <si>
    <t xml:space="preserve">Auto Xpert </t>
  </si>
  <si>
    <t>Esnad Transport</t>
  </si>
  <si>
    <t>5m</t>
  </si>
  <si>
    <t xml:space="preserve">Mighty Trading </t>
  </si>
  <si>
    <t>Carmal Group</t>
  </si>
  <si>
    <t>Spark Arestor Installation</t>
  </si>
  <si>
    <t xml:space="preserve">Mannai </t>
  </si>
  <si>
    <t>Hamad Bin Khalid (HPE)</t>
  </si>
  <si>
    <t>Outrigger Pad (1200x1200x60)</t>
  </si>
  <si>
    <t>Integrated Logistics</t>
  </si>
  <si>
    <t xml:space="preserve">High Lift Proxy Switch </t>
  </si>
  <si>
    <t>Milaha Navigation</t>
  </si>
  <si>
    <t>Anemometer</t>
  </si>
  <si>
    <t xml:space="preserve">OTC </t>
  </si>
  <si>
    <t xml:space="preserve">A2B Switch </t>
  </si>
  <si>
    <t>Seashore Hydraulics</t>
  </si>
  <si>
    <t>Galfar Al Misnad Engg</t>
  </si>
  <si>
    <t>A400 Board Repair Charge</t>
  </si>
  <si>
    <t>Inco Group</t>
  </si>
  <si>
    <t>Nylon Pulley</t>
  </si>
  <si>
    <t xml:space="preserve">Esnad Transport </t>
  </si>
  <si>
    <t xml:space="preserve">Enova Contracting </t>
  </si>
  <si>
    <t>Vehicle Maintenanace</t>
  </si>
  <si>
    <t xml:space="preserve">Fuel </t>
  </si>
  <si>
    <t>Visa Expenses</t>
  </si>
  <si>
    <t>Miscellaneous</t>
  </si>
  <si>
    <t xml:space="preserve">Jaidah </t>
  </si>
  <si>
    <t>Wire Rope (10mm)</t>
  </si>
  <si>
    <t>Wire Rope (12mm)</t>
  </si>
  <si>
    <t xml:space="preserve">Najco </t>
  </si>
  <si>
    <t xml:space="preserve">Golden Rocks </t>
  </si>
  <si>
    <t>Safe World Transport</t>
  </si>
  <si>
    <t>A2B Warning Device</t>
  </si>
  <si>
    <t xml:space="preserve">Gulf Asia Contracting </t>
  </si>
  <si>
    <t>Auto Xpert</t>
  </si>
  <si>
    <t>CRD Repair and Calibration</t>
  </si>
  <si>
    <t xml:space="preserve">Roots Energy </t>
  </si>
  <si>
    <t>Recalibration and repair</t>
  </si>
  <si>
    <t>GITCO</t>
  </si>
  <si>
    <t xml:space="preserve">CRD Repair and Cable </t>
  </si>
  <si>
    <t>Recalibration and A2B Switch</t>
  </si>
  <si>
    <t>Outrigger Pads (500x500x50)</t>
  </si>
  <si>
    <t xml:space="preserve">Safa Trading </t>
  </si>
  <si>
    <t xml:space="preserve">Gulf Energy </t>
  </si>
  <si>
    <t>Status</t>
  </si>
  <si>
    <t>Outrigger Pads</t>
  </si>
  <si>
    <t>SLI</t>
  </si>
  <si>
    <t xml:space="preserve">Item </t>
  </si>
  <si>
    <t>Target -2026</t>
  </si>
  <si>
    <t xml:space="preserve">Sold Qty - January </t>
  </si>
  <si>
    <t>Monthly Target</t>
  </si>
  <si>
    <t>Category</t>
  </si>
  <si>
    <t>PLI</t>
  </si>
  <si>
    <t xml:space="preserve">Camera </t>
  </si>
  <si>
    <t>Arc Light</t>
  </si>
  <si>
    <t xml:space="preserve">Boom Truck </t>
  </si>
  <si>
    <t>Forklift</t>
  </si>
  <si>
    <t>Wheel Loader</t>
  </si>
  <si>
    <t>Cranes</t>
  </si>
  <si>
    <t>500x50mm</t>
  </si>
  <si>
    <t>1000x60mm</t>
  </si>
  <si>
    <t>1200x60mm</t>
  </si>
  <si>
    <t>1200x80mm</t>
  </si>
  <si>
    <t>2 Units</t>
  </si>
  <si>
    <t>3 Units</t>
  </si>
  <si>
    <t>12 Pcs</t>
  </si>
  <si>
    <t>1 Pcs</t>
  </si>
  <si>
    <t>8 Pcs</t>
  </si>
  <si>
    <t>10 Pcs</t>
  </si>
  <si>
    <t>2 Pcs</t>
  </si>
  <si>
    <t>6 Units</t>
  </si>
  <si>
    <t>1 Unit</t>
  </si>
  <si>
    <t>3 Pcs</t>
  </si>
  <si>
    <t>5 Pcs</t>
  </si>
  <si>
    <t xml:space="preserve">Sold Qty - February </t>
  </si>
  <si>
    <t>25 Pcs</t>
  </si>
  <si>
    <t xml:space="preserve">  Achieved </t>
  </si>
  <si>
    <t xml:space="preserve">Sold Qty - March </t>
  </si>
  <si>
    <t xml:space="preserve">Actual </t>
  </si>
  <si>
    <t>4 Units</t>
  </si>
  <si>
    <t>4 Pcs</t>
  </si>
  <si>
    <t>13 Units</t>
  </si>
  <si>
    <t>17 Pcs</t>
  </si>
  <si>
    <t>Butec</t>
  </si>
  <si>
    <t>Outrigger pads (1200x1200x60)</t>
  </si>
  <si>
    <t xml:space="preserve">Oman United </t>
  </si>
  <si>
    <t xml:space="preserve">Silver Line </t>
  </si>
  <si>
    <t xml:space="preserve">CRD cable </t>
  </si>
  <si>
    <t xml:space="preserve">Gulf Construction Machinery </t>
  </si>
  <si>
    <t>A2B Switch (Full Set)</t>
  </si>
  <si>
    <t>Gulfar Al Misnad</t>
  </si>
  <si>
    <t>Mediterranean Equipment</t>
  </si>
  <si>
    <t>A2B Switch (only)</t>
  </si>
  <si>
    <t>Descon Engg</t>
  </si>
  <si>
    <t>Al Sahib Trd</t>
  </si>
  <si>
    <t xml:space="preserve">Dime Marine </t>
  </si>
  <si>
    <t xml:space="preserve">Load Test </t>
  </si>
  <si>
    <t xml:space="preserve">4 Camera system </t>
  </si>
  <si>
    <t>1 Camera system</t>
  </si>
  <si>
    <t xml:space="preserve">Mohmand Contracting </t>
  </si>
  <si>
    <t xml:space="preserve">Fast Track Equipment </t>
  </si>
  <si>
    <t>Outrigger pads (1000x1000x60)</t>
  </si>
  <si>
    <t>Ali Bin Nasser Al Misnad</t>
  </si>
  <si>
    <t>Outrigger pads (500x500x50)</t>
  </si>
  <si>
    <t>Emco Engg</t>
  </si>
  <si>
    <t>Carmel Group</t>
  </si>
  <si>
    <t xml:space="preserve">Length Calibration </t>
  </si>
  <si>
    <t>Hydraulic Control Lever/Nylon Handle</t>
  </si>
  <si>
    <t>Danway Qatar</t>
  </si>
  <si>
    <t xml:space="preserve">TPC certification </t>
  </si>
  <si>
    <t xml:space="preserve">Esnad </t>
  </si>
  <si>
    <t>CRD Repair</t>
  </si>
  <si>
    <t xml:space="preserve">Esnad Ahmed </t>
  </si>
  <si>
    <t>Dash Camera (V25 Pro)</t>
  </si>
  <si>
    <t xml:space="preserve">Fence Industries </t>
  </si>
  <si>
    <t>Fuel (Swift - 428.46, Veloz - 796.82)</t>
  </si>
  <si>
    <t>Vehicle Expenses (Veloz -105, Swift 269)</t>
  </si>
  <si>
    <t xml:space="preserve">Draieh Contracting </t>
  </si>
  <si>
    <t>Outrigger Pads (1200x1200x80mm)</t>
  </si>
  <si>
    <t xml:space="preserve">CRD Spring </t>
  </si>
  <si>
    <t xml:space="preserve">Butec </t>
  </si>
  <si>
    <t xml:space="preserve">Zeal It Trading </t>
  </si>
  <si>
    <t>Project Service Co</t>
  </si>
  <si>
    <t>Outrigger Pads (500x500x50mm)</t>
  </si>
  <si>
    <t xml:space="preserve">Golden Rock </t>
  </si>
  <si>
    <t>Galfar Al Misnad</t>
  </si>
  <si>
    <t xml:space="preserve">Al Sahib Trading </t>
  </si>
  <si>
    <t>A2B Switch and System Set-up</t>
  </si>
  <si>
    <t>Silver Line</t>
  </si>
  <si>
    <t xml:space="preserve"> Al Balagh </t>
  </si>
  <si>
    <t>Subin c/o Amal</t>
  </si>
  <si>
    <t>Wolfbox G900pro</t>
  </si>
  <si>
    <t xml:space="preserve">Mirrikh </t>
  </si>
  <si>
    <t>Pressure Guage Calibration</t>
  </si>
  <si>
    <t>Invoice Value</t>
  </si>
  <si>
    <t xml:space="preserve">Al Musairie Trading </t>
  </si>
  <si>
    <t>Anemometer Calibration</t>
  </si>
  <si>
    <t xml:space="preserve">Q1 Status </t>
  </si>
  <si>
    <t xml:space="preserve">Sold Qty - April </t>
  </si>
  <si>
    <t>Calibration Certification</t>
  </si>
  <si>
    <t xml:space="preserve">2026 PERFORMANCE OVERVIEW - Q1 (Jan-Feb-Mar) </t>
  </si>
  <si>
    <t>ID</t>
  </si>
  <si>
    <t>Product Description</t>
  </si>
  <si>
    <t>Annual Target</t>
  </si>
  <si>
    <t>Jan Sold</t>
  </si>
  <si>
    <t>Feb Sold</t>
  </si>
  <si>
    <t xml:space="preserve">Mar Sold </t>
  </si>
  <si>
    <t>Q1 Actual</t>
  </si>
  <si>
    <t>Target Achievement</t>
  </si>
  <si>
    <t>SLI (BT)</t>
  </si>
  <si>
    <t>Forklift Payload Indicator</t>
  </si>
  <si>
    <t>Special Purpose System (PLI)</t>
  </si>
  <si>
    <t>SLI (Cranes)</t>
  </si>
  <si>
    <t>Camera System</t>
  </si>
  <si>
    <t>Calibration Certificate*</t>
  </si>
  <si>
    <t xml:space="preserve">*According to our data, only 210 certificates are due to expire by December 31. </t>
  </si>
  <si>
    <t>*The total certification cannot be calculated to the monthly target, which varies depending on the number of certificates expiring each month.</t>
  </si>
  <si>
    <t>Objective / Client</t>
  </si>
  <si>
    <t>Current Status</t>
  </si>
  <si>
    <t xml:space="preserve">Quoted Price </t>
  </si>
  <si>
    <t>Approx Expenses</t>
  </si>
  <si>
    <t>Approx Profit</t>
  </si>
  <si>
    <t>ISO 17025 Accreditation</t>
  </si>
  <si>
    <t>DUPCO (Forklift Fork Rotator)</t>
  </si>
  <si>
    <t>Milaha (Port Crane SLI)</t>
  </si>
  <si>
    <t>OPERATIONAL SCOPE &amp; KEY RESPONSIBILITIES</t>
  </si>
  <si>
    <t>AREA OF FOCUS</t>
  </si>
  <si>
    <t>DUTIES &amp; DELIVERABLES</t>
  </si>
  <si>
    <t>STRATEGIC PILLAR</t>
  </si>
  <si>
    <t>Financial coordination and management</t>
  </si>
  <si>
    <t>• Streamlining payment schedules with manufacturers.
• End-to-end sales invoice management.
• Robust payment follow-up processes to ensure liquidity.</t>
  </si>
  <si>
    <t>Financial Stability</t>
  </si>
  <si>
    <t>Workshop operations and sales support</t>
  </si>
  <si>
    <t>• Collaborative service team support for operational excellence.
• Procurement management: Mechanical, Hydraulic, Fabrication, Painting &amp; Electrical.
• Client retention and new business development for technical orders for workshop department.</t>
  </si>
  <si>
    <t>Service Excellence</t>
  </si>
  <si>
    <t>Calibration &amp; Certification Services</t>
  </si>
  <si>
    <t>• Deployment of calibration certificates.
• Comprehensive fleet coverage: Boom Trucks and all Crane categories.</t>
  </si>
  <si>
    <t>Compliance &amp; Safety</t>
  </si>
  <si>
    <t>Achieved</t>
  </si>
  <si>
    <t>Sold Qty - May</t>
  </si>
  <si>
    <t>achieved</t>
  </si>
  <si>
    <t>Sold Qty - June</t>
  </si>
  <si>
    <t>Qcon</t>
  </si>
  <si>
    <t>Fuel (Swift  - 699.91, Veloz - 742.18)</t>
  </si>
  <si>
    <t>Vehicle Expenses (Veloz -220, Swift 895)</t>
  </si>
  <si>
    <t>Partial</t>
  </si>
  <si>
    <t>Company</t>
  </si>
  <si>
    <t>Description</t>
  </si>
  <si>
    <t>Due On</t>
  </si>
  <si>
    <t>Overdue by days</t>
  </si>
  <si>
    <t>Remarks</t>
  </si>
  <si>
    <t>12-Oct-2025</t>
  </si>
  <si>
    <t>M/S Oriental Trading Company</t>
  </si>
  <si>
    <t>11-Nov-2025</t>
  </si>
  <si>
    <t>31-Oct-2025</t>
  </si>
  <si>
    <t>2x SLI system</t>
  </si>
  <si>
    <t>30-Nov-2025</t>
  </si>
  <si>
    <t>10-Nov-2025</t>
  </si>
  <si>
    <t>10-Dec-2025</t>
  </si>
  <si>
    <t>17-Nov-2025</t>
  </si>
  <si>
    <t>4x Arc Light</t>
  </si>
  <si>
    <t>17-Dec-2025</t>
  </si>
  <si>
    <t>24-Nov-2025</t>
  </si>
  <si>
    <t>Crane Calibration Cert</t>
  </si>
  <si>
    <t>24-Dec-2025</t>
  </si>
  <si>
    <t>Payload Indicator</t>
  </si>
  <si>
    <t>30-Dec-2025</t>
  </si>
  <si>
    <t>16-Dec-2025</t>
  </si>
  <si>
    <t>15-Jan-2026</t>
  </si>
  <si>
    <t>20-Dec-2025</t>
  </si>
  <si>
    <t xml:space="preserve">1x Arc Light </t>
  </si>
  <si>
    <t>19-Jan-2026</t>
  </si>
  <si>
    <t>Total amount invoiced until December 2025</t>
  </si>
  <si>
    <t xml:space="preserve">Auto Xpert Trading </t>
  </si>
  <si>
    <t>Pending</t>
  </si>
  <si>
    <t>Venus Services</t>
  </si>
  <si>
    <t>Al Awaidha Transport</t>
  </si>
  <si>
    <t>FL System</t>
  </si>
  <si>
    <t>Gulf Construction Machinery</t>
  </si>
  <si>
    <t>CRD Cable</t>
  </si>
  <si>
    <t>Excel Metal Industries</t>
  </si>
  <si>
    <t xml:space="preserve">Al Balagh Trading </t>
  </si>
  <si>
    <t xml:space="preserve">Apogee Engineering </t>
  </si>
  <si>
    <t>TPC</t>
  </si>
  <si>
    <t>Medgulf Contruction</t>
  </si>
  <si>
    <t xml:space="preserve">Carmal Group </t>
  </si>
  <si>
    <t xml:space="preserve">Spark Arrestor </t>
  </si>
  <si>
    <t xml:space="preserve">Display Replacement </t>
  </si>
  <si>
    <t>A2B Switch (Only)</t>
  </si>
  <si>
    <t xml:space="preserve">Ramco Trading </t>
  </si>
  <si>
    <t>Oman United</t>
  </si>
  <si>
    <t xml:space="preserve">Al Ansari </t>
  </si>
  <si>
    <t>A2B Switch (FS)</t>
  </si>
  <si>
    <t xml:space="preserve">Impressive Trading </t>
  </si>
  <si>
    <t>Pressure Gauge recalibration</t>
  </si>
  <si>
    <t xml:space="preserve">2026 PERFORMANCE OVERVIEW - Q2 (Apr-May-June) </t>
  </si>
  <si>
    <t>Apr Sold</t>
  </si>
  <si>
    <t>May Sold</t>
  </si>
  <si>
    <t xml:space="preserve">June Sold </t>
  </si>
  <si>
    <t>Q2 Actual</t>
  </si>
  <si>
    <t>Fuel (Swift  - 620.96, Veloz - 902.40)</t>
  </si>
  <si>
    <t>Vehicle Expenses (Veloz -115, Swift 730)</t>
  </si>
  <si>
    <t>Rotator under Shipping</t>
  </si>
  <si>
    <t xml:space="preserve">System Installation Started </t>
  </si>
  <si>
    <t xml:space="preserve">2026 PERFORMANCE OVERVIEW - Q3 (Jul-Aug-Sep) </t>
  </si>
  <si>
    <t>Jul Sold</t>
  </si>
  <si>
    <t>Aug Sold</t>
  </si>
  <si>
    <t xml:space="preserve">Sep Sold </t>
  </si>
  <si>
    <t>Q3 Actual</t>
  </si>
  <si>
    <t xml:space="preserve">Successfully Achieved </t>
  </si>
  <si>
    <t>Quotation Sent</t>
  </si>
  <si>
    <t>Under Review</t>
  </si>
  <si>
    <t>Qcon Engg (Carry Deck Crane SLI)</t>
  </si>
  <si>
    <t>EMCO (Manlift Load Limit SLI)</t>
  </si>
  <si>
    <t xml:space="preserve">2026 PERFORMANCE OVERVIEW - Q4 (Oct-Nov-Dec) </t>
  </si>
  <si>
    <t>New product sales and services</t>
  </si>
  <si>
    <t>XinFeig - Truck-Mounted Cranes and Manlift Order underway</t>
  </si>
  <si>
    <t>Oct Sold</t>
  </si>
  <si>
    <t>Nov Sold</t>
  </si>
  <si>
    <t xml:space="preserve">Dec Sold </t>
  </si>
  <si>
    <t>Q4 Actual</t>
  </si>
  <si>
    <t xml:space="preserve">Miscellaneous Expenses </t>
  </si>
  <si>
    <t xml:space="preserve">Invoice Value </t>
  </si>
  <si>
    <t>ISO/IEC 17025 Certification Charges</t>
  </si>
  <si>
    <t xml:space="preserve">Incentive </t>
  </si>
  <si>
    <t>ISO Consulting Charge</t>
  </si>
  <si>
    <t>Mannai Commission</t>
  </si>
  <si>
    <t>Ryno and food expenses</t>
  </si>
  <si>
    <t>QR 2,282.03</t>
  </si>
  <si>
    <t>Health Card (Fasalu)</t>
  </si>
  <si>
    <t>Shipping Charge (FedEx)</t>
  </si>
  <si>
    <t>Outrigger Pads 500x500x50mm</t>
  </si>
  <si>
    <t>Outrigger Pads 1000x1000x60mm</t>
  </si>
  <si>
    <t>Outrigger Pads 1200x1200x60mm</t>
  </si>
  <si>
    <t>Outrigger Pads 1200x1200x80mm</t>
  </si>
  <si>
    <t>TOTALS</t>
  </si>
  <si>
    <t>500m</t>
  </si>
  <si>
    <t>Others</t>
  </si>
  <si>
    <t>12mm Wire Rope</t>
  </si>
  <si>
    <t>safe load indicator</t>
  </si>
  <si>
    <t>SLI Parts</t>
  </si>
  <si>
    <t>CRD CABLE</t>
  </si>
  <si>
    <t>10mm Wire Rope</t>
  </si>
  <si>
    <t>As per demand</t>
  </si>
  <si>
    <t>Truck/BT</t>
  </si>
  <si>
    <t>4 Camera Wireless System</t>
  </si>
  <si>
    <t>Equipment</t>
  </si>
  <si>
    <t>2 Camera System</t>
  </si>
  <si>
    <t>1 Camera System</t>
  </si>
  <si>
    <t xml:space="preserve">Car </t>
  </si>
  <si>
    <t>Mirror Cam</t>
  </si>
  <si>
    <t>Adinkam V238</t>
  </si>
  <si>
    <t>Adinkam V25Pro</t>
  </si>
  <si>
    <t>Trailer (6)</t>
  </si>
  <si>
    <t xml:space="preserve">Trailer Camera </t>
  </si>
  <si>
    <t>Truck</t>
  </si>
  <si>
    <t xml:space="preserve">Parking Air Condition </t>
  </si>
  <si>
    <t>Electrical Parts</t>
  </si>
  <si>
    <t xml:space="preserve">Side Beam Light </t>
  </si>
  <si>
    <t xml:space="preserve">Truck </t>
  </si>
  <si>
    <t>Side Marker Light</t>
  </si>
  <si>
    <t>Boom Truck (10)</t>
  </si>
  <si>
    <t>TPMS</t>
  </si>
  <si>
    <t>Forklift (6)</t>
  </si>
  <si>
    <t>Forklift (4)</t>
  </si>
  <si>
    <t>Sedan</t>
  </si>
  <si>
    <t>Bson 4K</t>
  </si>
  <si>
    <t>SUV</t>
  </si>
  <si>
    <t>Wolfbox G900PRO</t>
  </si>
  <si>
    <t>Wolfbox G850</t>
  </si>
  <si>
    <t>School Bus</t>
  </si>
  <si>
    <t>Bus Stop Sign Board</t>
  </si>
  <si>
    <t>Crane Parts</t>
  </si>
  <si>
    <t>FL Camera</t>
  </si>
  <si>
    <t xml:space="preserve">BT Camera </t>
  </si>
  <si>
    <t>1200x1200x80mm</t>
  </si>
  <si>
    <t>1200x1200x60mm</t>
  </si>
  <si>
    <t>1000x1000x60mm</t>
  </si>
  <si>
    <t>500x500x50mm</t>
  </si>
  <si>
    <t>Average Selling Price</t>
  </si>
  <si>
    <t>Curr. Stock Value</t>
  </si>
  <si>
    <t>Sold Quantity</t>
  </si>
  <si>
    <t xml:space="preserve"> New Order Qty</t>
  </si>
  <si>
    <t>EOQ</t>
  </si>
  <si>
    <t>Current Stock</t>
  </si>
  <si>
    <t>Purchase Quantity</t>
  </si>
  <si>
    <t>Type</t>
  </si>
  <si>
    <t xml:space="preserve">Catogary </t>
  </si>
  <si>
    <t>Product Name</t>
  </si>
  <si>
    <t>Safety Product</t>
  </si>
  <si>
    <t>Wireless A2B Device</t>
  </si>
  <si>
    <t>Attachment</t>
  </si>
  <si>
    <t>Other</t>
  </si>
  <si>
    <t>Fork Rotator</t>
  </si>
  <si>
    <t xml:space="preserve"> 4Core</t>
  </si>
  <si>
    <t xml:space="preserve">SLI Parts </t>
  </si>
  <si>
    <t>Duration of Sales Finish (Months)</t>
  </si>
  <si>
    <t>Product Value</t>
  </si>
  <si>
    <t>Estimated  Delivery Date</t>
  </si>
  <si>
    <t xml:space="preserve">Shipping Date </t>
  </si>
  <si>
    <t xml:space="preserve"> New Ordering Qty</t>
  </si>
  <si>
    <t>NET TOTAL PROFIT:</t>
  </si>
  <si>
    <t xml:space="preserve">Deck Crane </t>
  </si>
  <si>
    <t>TOTAL ISO DEDUCTIONS:</t>
  </si>
  <si>
    <t>Mobile crane</t>
  </si>
  <si>
    <t>TOTAL GROSS PROFIT:</t>
  </si>
  <si>
    <t xml:space="preserve"> ISO ACCREDITATION CHARGES</t>
  </si>
  <si>
    <t xml:space="preserve">RT Crane </t>
  </si>
  <si>
    <t xml:space="preserve"> ISO CONSULTATION CHARGES</t>
  </si>
  <si>
    <t>Side Boom Crane</t>
  </si>
  <si>
    <t>Boom Truck</t>
  </si>
  <si>
    <t>Revenue</t>
  </si>
  <si>
    <t>TOTAL WORKSHOP CHARGES</t>
  </si>
  <si>
    <t>Equipment-wise sales</t>
  </si>
  <si>
    <t>01 June 10, 2026</t>
  </si>
  <si>
    <t>01 May 31, 2026</t>
  </si>
  <si>
    <t>09 April 30, 2026</t>
  </si>
  <si>
    <t>May</t>
  </si>
  <si>
    <t>June</t>
  </si>
  <si>
    <t>April</t>
  </si>
  <si>
    <t>Sales</t>
  </si>
  <si>
    <t>Month</t>
  </si>
  <si>
    <t>Job Profit</t>
  </si>
  <si>
    <t>Workshop Exp</t>
  </si>
  <si>
    <t>Charge</t>
  </si>
  <si>
    <t>Equipment Type</t>
  </si>
  <si>
    <t>Duration</t>
  </si>
  <si>
    <t>Monthly Sales &amp; Profit</t>
  </si>
  <si>
    <t>Financial Summary</t>
  </si>
  <si>
    <t xml:space="preserve">GITCO - Calibration Certification Sales &amp; 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</si>
</sst>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QAR]\ * #,##0.00_);_([$QAR]\ * \(#,##0.00\);_([$QAR]\ * &quot;-&quot;??_);_(@_)"/>
    <numFmt numFmtId="165" formatCode="[$-409]d\-mmm;@"/>
    <numFmt numFmtId="166" formatCode="&quot;QAR&quot;\ #,##0.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  <font>
      <b/>
      <sz val="16"/>
      <color rgb="FF2F5597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b/>
      <sz val="11"/>
      <color rgb="FFFFFFFF"/>
      <name val="Segoe UI"/>
      <family val="2"/>
    </font>
    <font>
      <b/>
      <sz val="10"/>
      <color theme="1"/>
      <name val="Segoe UI"/>
      <family val="2"/>
    </font>
    <font>
      <i/>
      <sz val="10"/>
      <color rgb="FF44546A"/>
      <name val="Segoe UI"/>
      <family val="2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CC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CC00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rgb="FF00B0F0"/>
      <name val="Calibri"/>
      <family val="2"/>
      <scheme val="minor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B30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3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1" fillId="14" borderId="0" applyNumberFormat="0" applyBorder="0" applyAlignment="0" applyProtection="0"/>
  </cellStyleXfs>
  <cellXfs count="205">
    <xf numFmtId="0" fontId="0" fillId="0" borderId="0" xfId="0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164" fontId="4" fillId="4" borderId="1" xfId="0" applyNumberFormat="1" applyFont="1" applyFill="1" applyBorder="1"/>
    <xf numFmtId="0" fontId="0" fillId="0" borderId="5" xfId="0" applyBorder="1" applyAlignment="1">
      <alignment wrapText="1"/>
    </xf>
    <xf numFmtId="164" fontId="0" fillId="0" borderId="1" xfId="0" applyNumberFormat="1" applyBorder="1"/>
    <xf numFmtId="0" fontId="0" fillId="0" borderId="0" xfId="0" applyAlignment="1">
      <alignment wrapText="1"/>
    </xf>
    <xf numFmtId="164" fontId="2" fillId="5" borderId="1" xfId="0" applyNumberFormat="1" applyFont="1" applyFill="1" applyBorder="1"/>
    <xf numFmtId="164" fontId="5" fillId="6" borderId="1" xfId="1" applyNumberFormat="1" applyFont="1" applyFill="1" applyBorder="1"/>
    <xf numFmtId="165" fontId="3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 vertical="center"/>
    </xf>
    <xf numFmtId="164" fontId="3" fillId="0" borderId="4" xfId="0" applyNumberFormat="1" applyFont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/>
    <xf numFmtId="164" fontId="3" fillId="2" borderId="2" xfId="0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4" fillId="4" borderId="4" xfId="0" applyNumberFormat="1" applyFont="1" applyFill="1" applyBorder="1"/>
    <xf numFmtId="164" fontId="0" fillId="0" borderId="4" xfId="0" applyNumberFormat="1" applyBorder="1"/>
    <xf numFmtId="164" fontId="2" fillId="5" borderId="4" xfId="0" applyNumberFormat="1" applyFont="1" applyFill="1" applyBorder="1"/>
    <xf numFmtId="164" fontId="5" fillId="6" borderId="4" xfId="1" applyNumberFormat="1" applyFont="1" applyFill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/>
    <xf numFmtId="164" fontId="10" fillId="0" borderId="0" xfId="0" applyNumberFormat="1" applyFo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164" fontId="4" fillId="7" borderId="4" xfId="0" applyNumberFormat="1" applyFont="1" applyFill="1" applyBorder="1"/>
    <xf numFmtId="0" fontId="0" fillId="7" borderId="0" xfId="0" applyFill="1"/>
    <xf numFmtId="164" fontId="0" fillId="0" borderId="9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7" borderId="15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5" fontId="7" fillId="2" borderId="10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164" fontId="7" fillId="2" borderId="11" xfId="0" applyNumberFormat="1" applyFont="1" applyFill="1" applyBorder="1" applyAlignment="1">
      <alignment horizontal="center"/>
    </xf>
    <xf numFmtId="164" fontId="7" fillId="9" borderId="11" xfId="0" applyNumberFormat="1" applyFont="1" applyFill="1" applyBorder="1" applyAlignment="1">
      <alignment horizontal="center"/>
    </xf>
    <xf numFmtId="164" fontId="7" fillId="2" borderId="17" xfId="0" applyNumberFormat="1" applyFont="1" applyFill="1" applyBorder="1" applyAlignment="1">
      <alignment horizontal="center"/>
    </xf>
    <xf numFmtId="164" fontId="7" fillId="2" borderId="21" xfId="0" applyNumberFormat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9" fontId="3" fillId="0" borderId="1" xfId="0" applyNumberFormat="1" applyFont="1" applyBorder="1" applyAlignment="1">
      <alignment horizontal="center"/>
    </xf>
    <xf numFmtId="0" fontId="14" fillId="11" borderId="1" xfId="0" applyFont="1" applyFill="1" applyBorder="1"/>
    <xf numFmtId="0" fontId="17" fillId="1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vertical="top" wrapText="1"/>
    </xf>
    <xf numFmtId="0" fontId="18" fillId="0" borderId="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0" fillId="0" borderId="16" xfId="0" applyBorder="1"/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164" fontId="3" fillId="0" borderId="11" xfId="0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4" fontId="3" fillId="0" borderId="9" xfId="0" applyNumberFormat="1" applyFont="1" applyBorder="1" applyAlignment="1">
      <alignment horizontal="center"/>
    </xf>
    <xf numFmtId="164" fontId="20" fillId="0" borderId="29" xfId="0" applyNumberFormat="1" applyFont="1" applyBorder="1"/>
    <xf numFmtId="164" fontId="7" fillId="9" borderId="1" xfId="0" applyNumberFormat="1" applyFont="1" applyFill="1" applyBorder="1" applyAlignment="1">
      <alignment horizontal="center"/>
    </xf>
    <xf numFmtId="0" fontId="0" fillId="0" borderId="1" xfId="0" applyBorder="1"/>
    <xf numFmtId="165" fontId="7" fillId="9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1" fillId="14" borderId="1" xfId="2" applyBorder="1" applyAlignment="1">
      <alignment horizontal="center"/>
    </xf>
    <xf numFmtId="164" fontId="19" fillId="0" borderId="0" xfId="0" applyNumberFormat="1" applyFont="1"/>
    <xf numFmtId="0" fontId="10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4" fontId="14" fillId="11" borderId="1" xfId="0" applyNumberFormat="1" applyFont="1" applyFill="1" applyBorder="1"/>
    <xf numFmtId="164" fontId="15" fillId="15" borderId="1" xfId="0" applyNumberFormat="1" applyFont="1" applyFill="1" applyBorder="1" applyAlignment="1">
      <alignment horizontal="center"/>
    </xf>
    <xf numFmtId="164" fontId="14" fillId="15" borderId="1" xfId="0" applyNumberFormat="1" applyFont="1" applyFill="1" applyBorder="1"/>
    <xf numFmtId="164" fontId="2" fillId="0" borderId="4" xfId="0" applyNumberFormat="1" applyFont="1" applyBorder="1"/>
    <xf numFmtId="164" fontId="20" fillId="0" borderId="4" xfId="0" applyNumberFormat="1" applyFont="1" applyBorder="1"/>
    <xf numFmtId="164" fontId="7" fillId="0" borderId="1" xfId="0" applyNumberFormat="1" applyFont="1" applyBorder="1" applyAlignment="1">
      <alignment horizontal="center"/>
    </xf>
    <xf numFmtId="164" fontId="4" fillId="0" borderId="4" xfId="0" applyNumberFormat="1" applyFont="1" applyBorder="1"/>
    <xf numFmtId="0" fontId="22" fillId="0" borderId="0" xfId="0" applyFont="1"/>
    <xf numFmtId="0" fontId="23" fillId="0" borderId="0" xfId="0" applyFont="1"/>
    <xf numFmtId="164" fontId="24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4" fontId="20" fillId="16" borderId="1" xfId="0" applyNumberFormat="1" applyFont="1" applyFill="1" applyBorder="1" applyAlignment="1">
      <alignment horizontal="center"/>
    </xf>
    <xf numFmtId="1" fontId="3" fillId="16" borderId="1" xfId="0" applyNumberFormat="1" applyFont="1" applyFill="1" applyBorder="1" applyAlignment="1">
      <alignment horizontal="center"/>
    </xf>
    <xf numFmtId="1" fontId="23" fillId="16" borderId="1" xfId="0" applyNumberFormat="1" applyFont="1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3" fillId="16" borderId="30" xfId="0" applyFont="1" applyFill="1" applyBorder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164" fontId="25" fillId="0" borderId="1" xfId="0" applyNumberFormat="1" applyFont="1" applyBorder="1" applyAlignment="1">
      <alignment horizontal="center"/>
    </xf>
    <xf numFmtId="1" fontId="26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23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center" vertical="center"/>
    </xf>
    <xf numFmtId="166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6" fontId="31" fillId="19" borderId="29" xfId="0" applyNumberFormat="1" applyFont="1" applyFill="1" applyBorder="1" applyAlignment="1">
      <alignment horizontal="center"/>
    </xf>
    <xf numFmtId="166" fontId="3" fillId="0" borderId="31" xfId="0" applyNumberFormat="1" applyFont="1" applyBorder="1" applyAlignment="1">
      <alignment horizontal="center"/>
    </xf>
    <xf numFmtId="166" fontId="3" fillId="0" borderId="32" xfId="0" applyNumberFormat="1" applyFont="1" applyBorder="1" applyAlignment="1">
      <alignment horizontal="center"/>
    </xf>
    <xf numFmtId="166" fontId="3" fillId="20" borderId="1" xfId="0" applyNumberFormat="1" applyFont="1" applyFill="1" applyBorder="1" applyAlignment="1">
      <alignment horizontal="center"/>
    </xf>
    <xf numFmtId="0" fontId="3" fillId="20" borderId="1" xfId="0" applyFont="1" applyFill="1" applyBorder="1"/>
    <xf numFmtId="0" fontId="6" fillId="8" borderId="1" xfId="0" applyFont="1" applyFill="1" applyBorder="1" applyAlignment="1">
      <alignment horizontal="center"/>
    </xf>
    <xf numFmtId="164" fontId="3" fillId="0" borderId="29" xfId="0" applyNumberFormat="1" applyFon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1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top"/>
    </xf>
    <xf numFmtId="0" fontId="6" fillId="12" borderId="1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11" borderId="2" xfId="0" applyFont="1" applyFill="1" applyBorder="1" applyAlignment="1">
      <alignment horizontal="center"/>
    </xf>
    <xf numFmtId="0" fontId="14" fillId="11" borderId="3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15" borderId="2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15" borderId="4" xfId="0" applyFont="1" applyFill="1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12" fillId="0" borderId="1" xfId="0" applyFont="1" applyBorder="1" applyAlignment="1">
      <alignment horizontal="left" vertical="top" wrapText="1"/>
    </xf>
    <xf numFmtId="0" fontId="16" fillId="8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3" xfId="0" applyFont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3" fillId="21" borderId="0" xfId="0" applyFont="1" applyFill="1" applyAlignment="1">
      <alignment horizontal="center"/>
    </xf>
  </cellXfs>
  <cellStyles count="3">
    <cellStyle name="Bad" xfId="2" builtinId="27"/>
    <cellStyle name="Currency" xfId="1" builtinId="4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 Quantity - GITCO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653363920961"/>
          <c:y val="0.16497805101240082"/>
          <c:w val="0.87335483434236605"/>
          <c:h val="0.60283769391170727"/>
        </c:manualLayout>
      </c:layout>
      <c:barChart>
        <c:barDir val="col"/>
        <c:grouping val="clustered"/>
        <c:varyColors val="0"/>
        <c:ser>
          <c:idx val="0"/>
          <c:order val="0"/>
          <c:tx>
            <c:v>Sold Quantity</c:v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'[1]Top 10 Stock List'!$A$2:$A$29</c:f>
              <c:strCache>
                <c:ptCount val="28"/>
                <c:pt idx="0">
                  <c:v>Outrigger Pads</c:v>
                </c:pt>
                <c:pt idx="1">
                  <c:v>Outrigger Pads</c:v>
                </c:pt>
                <c:pt idx="2">
                  <c:v>Outrigger Pads</c:v>
                </c:pt>
                <c:pt idx="3">
                  <c:v>Outrigger Pads</c:v>
                </c:pt>
                <c:pt idx="4">
                  <c:v>Arc Light</c:v>
                </c:pt>
                <c:pt idx="5">
                  <c:v>BT Camera </c:v>
                </c:pt>
                <c:pt idx="6">
                  <c:v>FL Camera</c:v>
                </c:pt>
                <c:pt idx="7">
                  <c:v>A2B Warning Device</c:v>
                </c:pt>
                <c:pt idx="8">
                  <c:v>Bus Stop Sign Board</c:v>
                </c:pt>
                <c:pt idx="9">
                  <c:v>Wolfbox G850</c:v>
                </c:pt>
                <c:pt idx="10">
                  <c:v>Wolfbox G900PRO</c:v>
                </c:pt>
                <c:pt idx="11">
                  <c:v>Bson 4K</c:v>
                </c:pt>
                <c:pt idx="12">
                  <c:v>TPMS</c:v>
                </c:pt>
                <c:pt idx="13">
                  <c:v>TPMS</c:v>
                </c:pt>
                <c:pt idx="14">
                  <c:v>TPMS</c:v>
                </c:pt>
                <c:pt idx="15">
                  <c:v>TPMS</c:v>
                </c:pt>
                <c:pt idx="16">
                  <c:v>Side Marker Light</c:v>
                </c:pt>
                <c:pt idx="17">
                  <c:v>Side Beam Light </c:v>
                </c:pt>
                <c:pt idx="18">
                  <c:v>Parking Air Condition </c:v>
                </c:pt>
                <c:pt idx="19">
                  <c:v>Trailer Camera </c:v>
                </c:pt>
                <c:pt idx="20">
                  <c:v>Adinkam V25Pro</c:v>
                </c:pt>
                <c:pt idx="21">
                  <c:v>Adinkam V238</c:v>
                </c:pt>
                <c:pt idx="22">
                  <c:v>1 Camera System</c:v>
                </c:pt>
                <c:pt idx="23">
                  <c:v>2 Camera System</c:v>
                </c:pt>
                <c:pt idx="24">
                  <c:v>4 Camera System </c:v>
                </c:pt>
                <c:pt idx="25">
                  <c:v>4 Camera Wireless System</c:v>
                </c:pt>
                <c:pt idx="26">
                  <c:v>10mm Wire Rope</c:v>
                </c:pt>
                <c:pt idx="27">
                  <c:v>12mm Wire Rope</c:v>
                </c:pt>
              </c:strCache>
            </c:strRef>
          </c:cat>
          <c:val>
            <c:numRef>
              <c:f>'[1]Top 10 Stock List'!$H$2:$H$29</c:f>
              <c:numCache>
                <c:formatCode>General</c:formatCode>
                <c:ptCount val="28"/>
                <c:pt idx="0">
                  <c:v>206</c:v>
                </c:pt>
                <c:pt idx="1">
                  <c:v>49</c:v>
                </c:pt>
                <c:pt idx="2">
                  <c:v>61</c:v>
                </c:pt>
                <c:pt idx="3">
                  <c:v>39</c:v>
                </c:pt>
                <c:pt idx="4">
                  <c:v>9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0</c:v>
                </c:pt>
                <c:pt idx="9">
                  <c:v>2</c:v>
                </c:pt>
                <c:pt idx="10">
                  <c:v>7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100</c:v>
                </c:pt>
                <c:pt idx="27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6-4371-B3B9-F7E8401FD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Financial Performance</a:t>
            </a:r>
          </a:p>
        </c:rich>
      </c:tx>
      <c:layout>
        <c:manualLayout>
          <c:xMode val="edge"/>
          <c:yMode val="edge"/>
          <c:x val="0.26661563137941091"/>
          <c:y val="1.54142581888246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04797317002042"/>
          <c:y val="0.16985571890218926"/>
          <c:w val="0.77512860892388447"/>
          <c:h val="0.65959825831019681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invertIfNegative val="0"/>
          <c:cat>
            <c:strRef>
              <c:f>'GITCO - Calibration Certificati'!$A$5:$A$7</c:f>
              <c:strCache>
                <c:ptCount val="3"/>
                <c:pt idx="0">
                  <c:v>April</c:v>
                </c:pt>
                <c:pt idx="1">
                  <c:v>June</c:v>
                </c:pt>
                <c:pt idx="2">
                  <c:v>May</c:v>
                </c:pt>
              </c:strCache>
            </c:strRef>
          </c:cat>
          <c:val>
            <c:numRef>
              <c:f>'GITCO - Calibration Certificati'!$B$5:$B$7</c:f>
              <c:numCache>
                <c:formatCode>_([$QAR]\ * #,##0.00_);_([$QAR]\ * \(#,##0.00\);_([$QAR]\ * "-"??_);_(@_)</c:formatCode>
                <c:ptCount val="3"/>
                <c:pt idx="0">
                  <c:v>11650</c:v>
                </c:pt>
                <c:pt idx="1">
                  <c:v>7450</c:v>
                </c:pt>
                <c:pt idx="2">
                  <c:v>31950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A-4060-BA77-8F371EDE9E7C}"/>
            </c:ext>
          </c:extLst>
        </c:ser>
        <c:ser>
          <c:idx val="1"/>
          <c:order val="1"/>
          <c:tx>
            <c:v>Profit</c:v>
          </c:tx>
          <c:spPr>
            <a:solidFill>
              <a:srgbClr val="ED7D31"/>
            </a:solidFill>
          </c:spPr>
          <c:invertIfNegative val="0"/>
          <c:cat>
            <c:strRef>
              <c:f>'GITCO - Calibration Certificati'!$A$5:$A$7</c:f>
              <c:strCache>
                <c:ptCount val="3"/>
                <c:pt idx="0">
                  <c:v>April</c:v>
                </c:pt>
                <c:pt idx="1">
                  <c:v>June</c:v>
                </c:pt>
                <c:pt idx="2">
                  <c:v>May</c:v>
                </c:pt>
              </c:strCache>
            </c:strRef>
          </c:cat>
          <c:val>
            <c:numRef>
              <c:f>'GITCO - Calibration Certificati'!$C$5:$C$7</c:f>
              <c:numCache>
                <c:formatCode>_([$QAR]\ * #,##0.00_);_([$QAR]\ * \(#,##0.00\);_([$QAR]\ * "-"??_);_(@_)</c:formatCode>
                <c:ptCount val="3"/>
                <c:pt idx="0">
                  <c:v>9150</c:v>
                </c:pt>
                <c:pt idx="1">
                  <c:v>5200</c:v>
                </c:pt>
                <c:pt idx="2">
                  <c:v>24950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A-4060-BA77-8F371EDE9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_([$QAR]\ * #,##0.00_);_([$QAR]\ * \(#,##0.00\);_([$QAR]\ * &quot;-&quot;??_);_(@_)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Equipment Type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Revenue Breakdown</c:v>
          </c:tx>
          <c:cat>
            <c:strRef>
              <c:f>'GITCO - Calibration Certificati'!$A$14:$A$18</c:f>
              <c:strCache>
                <c:ptCount val="5"/>
                <c:pt idx="0">
                  <c:v>Boom Truck</c:v>
                </c:pt>
                <c:pt idx="1">
                  <c:v>Side Boom Crane</c:v>
                </c:pt>
                <c:pt idx="2">
                  <c:v>RT Crane </c:v>
                </c:pt>
                <c:pt idx="3">
                  <c:v>Mobile crane</c:v>
                </c:pt>
                <c:pt idx="4">
                  <c:v>Deck Crane </c:v>
                </c:pt>
              </c:strCache>
            </c:strRef>
          </c:cat>
          <c:val>
            <c:numRef>
              <c:f>'GITCO - Calibration Certificati'!$B$14:$B$18</c:f>
              <c:numCache>
                <c:formatCode>_([$QAR]\ * #,##0.00_);_([$QAR]\ * \(#,##0.00\);_([$QAR]\ * "-"??_);_(@_)</c:formatCode>
                <c:ptCount val="5"/>
                <c:pt idx="0">
                  <c:v>27050</c:v>
                </c:pt>
                <c:pt idx="1">
                  <c:v>15500</c:v>
                </c:pt>
                <c:pt idx="2">
                  <c:v>4700</c:v>
                </c:pt>
                <c:pt idx="3">
                  <c:v>1900</c:v>
                </c:pt>
                <c:pt idx="4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F-4439-AB64-7F083FE09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649062</xdr:colOff>
      <xdr:row>34</xdr:row>
      <xdr:rowOff>13608</xdr:rowOff>
    </xdr:from>
    <xdr:to>
      <xdr:col>10</xdr:col>
      <xdr:colOff>400050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4C0E5-ECD4-41F4-8070-CB8CEE052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180975</xdr:rowOff>
    </xdr:from>
    <xdr:to>
      <xdr:col>12</xdr:col>
      <xdr:colOff>66675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4AB81-2B52-4BA3-AF7E-C3FCDD30C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18</xdr:row>
      <xdr:rowOff>66675</xdr:rowOff>
    </xdr:from>
    <xdr:to>
      <xdr:col>4</xdr:col>
      <xdr:colOff>1028700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A22A6-9A55-4150-8096-82CBD2D9E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TCO\SLI\Main%20Details\Products%20Sales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10 Stock List"/>
    </sheetNames>
    <sheetDataSet>
      <sheetData sheetId="0">
        <row r="2">
          <cell r="A2" t="str">
            <v>Outrigger Pads</v>
          </cell>
          <cell r="H2">
            <v>206</v>
          </cell>
        </row>
        <row r="3">
          <cell r="A3" t="str">
            <v>Outrigger Pads</v>
          </cell>
          <cell r="H3">
            <v>49</v>
          </cell>
        </row>
        <row r="4">
          <cell r="A4" t="str">
            <v>Outrigger Pads</v>
          </cell>
          <cell r="H4">
            <v>61</v>
          </cell>
        </row>
        <row r="5">
          <cell r="A5" t="str">
            <v>Outrigger Pads</v>
          </cell>
          <cell r="H5">
            <v>39</v>
          </cell>
        </row>
        <row r="6">
          <cell r="A6" t="str">
            <v>Arc Light</v>
          </cell>
          <cell r="H6">
            <v>9</v>
          </cell>
        </row>
        <row r="7">
          <cell r="A7" t="str">
            <v xml:space="preserve">BT Camera </v>
          </cell>
          <cell r="H7">
            <v>4</v>
          </cell>
        </row>
        <row r="8">
          <cell r="A8" t="str">
            <v>FL Camera</v>
          </cell>
          <cell r="H8">
            <v>6</v>
          </cell>
        </row>
        <row r="9">
          <cell r="A9" t="str">
            <v>A2B Warning Device</v>
          </cell>
          <cell r="H9">
            <v>8</v>
          </cell>
        </row>
        <row r="10">
          <cell r="A10" t="str">
            <v>Bus Stop Sign Board</v>
          </cell>
          <cell r="H10">
            <v>0</v>
          </cell>
        </row>
        <row r="11">
          <cell r="A11" t="str">
            <v>Wolfbox G850</v>
          </cell>
          <cell r="H11">
            <v>2</v>
          </cell>
        </row>
        <row r="12">
          <cell r="A12" t="str">
            <v>Wolfbox G900PRO</v>
          </cell>
          <cell r="H12">
            <v>7</v>
          </cell>
        </row>
        <row r="13">
          <cell r="A13" t="str">
            <v>Bson 4K</v>
          </cell>
          <cell r="H13">
            <v>2</v>
          </cell>
        </row>
        <row r="14">
          <cell r="A14" t="str">
            <v>TPMS</v>
          </cell>
          <cell r="H14">
            <v>1</v>
          </cell>
        </row>
        <row r="15">
          <cell r="A15" t="str">
            <v>TPMS</v>
          </cell>
          <cell r="H15">
            <v>0</v>
          </cell>
        </row>
        <row r="16">
          <cell r="A16" t="str">
            <v>TPMS</v>
          </cell>
          <cell r="H16">
            <v>0</v>
          </cell>
        </row>
        <row r="17">
          <cell r="A17" t="str">
            <v>TPMS</v>
          </cell>
          <cell r="H17">
            <v>1</v>
          </cell>
        </row>
        <row r="18">
          <cell r="A18" t="str">
            <v>Side Marker Light</v>
          </cell>
          <cell r="H18">
            <v>0</v>
          </cell>
        </row>
        <row r="19">
          <cell r="A19" t="str">
            <v xml:space="preserve">Side Beam Light </v>
          </cell>
          <cell r="H19">
            <v>10</v>
          </cell>
        </row>
        <row r="20">
          <cell r="A20" t="str">
            <v xml:space="preserve">Parking Air Condition </v>
          </cell>
          <cell r="H20">
            <v>0</v>
          </cell>
        </row>
        <row r="21">
          <cell r="A21" t="str">
            <v xml:space="preserve">Trailer Camera </v>
          </cell>
          <cell r="H21">
            <v>0</v>
          </cell>
        </row>
        <row r="22">
          <cell r="A22" t="str">
            <v>Adinkam V25Pro</v>
          </cell>
          <cell r="H22">
            <v>0</v>
          </cell>
        </row>
        <row r="23">
          <cell r="A23" t="str">
            <v>Adinkam V238</v>
          </cell>
          <cell r="H23">
            <v>1</v>
          </cell>
        </row>
        <row r="24">
          <cell r="A24" t="str">
            <v>1 Camera System</v>
          </cell>
          <cell r="H24">
            <v>1</v>
          </cell>
        </row>
        <row r="25">
          <cell r="A25" t="str">
            <v>2 Camera System</v>
          </cell>
          <cell r="H25">
            <v>0</v>
          </cell>
        </row>
        <row r="26">
          <cell r="A26" t="str">
            <v xml:space="preserve">4 Camera System </v>
          </cell>
          <cell r="H26">
            <v>3</v>
          </cell>
        </row>
        <row r="27">
          <cell r="A27" t="str">
            <v>4 Camera Wireless System</v>
          </cell>
          <cell r="H27">
            <v>0</v>
          </cell>
        </row>
        <row r="28">
          <cell r="A28" t="str">
            <v>10mm Wire Rope</v>
          </cell>
          <cell r="H28">
            <v>100</v>
          </cell>
        </row>
        <row r="29">
          <cell r="A29" t="str">
            <v>12mm Wire Rope</v>
          </cell>
          <cell r="H29">
            <v>650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70F0-1E85-4A8D-8A08-34C1AEED2403}">
  <sheetPr>
    <pageSetUpPr fitToPage="1"/>
  </sheetPr>
  <dimension ref="B2:J91"/>
  <sheetViews>
    <sheetView topLeftCell="A49" workbookViewId="0">
      <selection activeCell="H17" sqref="H17"/>
    </sheetView>
  </sheetViews>
  <sheetFormatPr defaultRowHeight="15" x14ac:dyDescent="0.25"/>
  <cols>
    <col min="2" max="2" width="33.85546875" customWidth="1"/>
    <col min="3" max="3" width="31" customWidth="1"/>
    <col min="4" max="4" width="18.5703125" customWidth="1"/>
    <col min="5" max="5" width="15.7109375" customWidth="1"/>
    <col min="6" max="6" width="17.85546875" customWidth="1"/>
    <col min="7" max="7" width="15.42578125" customWidth="1"/>
    <col min="8" max="8" width="22.7109375" customWidth="1"/>
    <col min="9" max="9" width="18.7109375" customWidth="1"/>
    <col min="10" max="10" width="20.85546875" customWidth="1"/>
  </cols>
  <sheetData>
    <row r="2" spans="2:10" ht="21" x14ac:dyDescent="0.35">
      <c r="B2" s="153" t="s">
        <v>194</v>
      </c>
      <c r="C2" s="153"/>
      <c r="D2" s="153"/>
      <c r="E2" s="153"/>
      <c r="F2" s="153"/>
      <c r="G2" s="153"/>
      <c r="H2" s="153"/>
      <c r="I2" s="153"/>
      <c r="J2" s="153"/>
    </row>
    <row r="5" spans="2:10" x14ac:dyDescent="0.25">
      <c r="B5" s="76" t="s">
        <v>195</v>
      </c>
      <c r="C5" s="76" t="s">
        <v>196</v>
      </c>
      <c r="D5" s="76" t="s">
        <v>197</v>
      </c>
      <c r="E5" s="76" t="s">
        <v>104</v>
      </c>
      <c r="F5" s="76" t="s">
        <v>198</v>
      </c>
      <c r="G5" s="76" t="s">
        <v>199</v>
      </c>
      <c r="H5" s="76" t="s">
        <v>200</v>
      </c>
      <c r="I5" s="76" t="s">
        <v>201</v>
      </c>
      <c r="J5" s="76" t="s">
        <v>202</v>
      </c>
    </row>
    <row r="6" spans="2:10" x14ac:dyDescent="0.25">
      <c r="B6" s="3">
        <v>1</v>
      </c>
      <c r="C6" s="77" t="s">
        <v>203</v>
      </c>
      <c r="D6" s="3">
        <v>75</v>
      </c>
      <c r="E6" s="3">
        <v>6</v>
      </c>
      <c r="F6" s="3">
        <v>3</v>
      </c>
      <c r="G6" s="3">
        <v>6</v>
      </c>
      <c r="H6" s="3">
        <v>4</v>
      </c>
      <c r="I6" s="3">
        <f>SUM(F6:H6)</f>
        <v>13</v>
      </c>
      <c r="J6" s="78">
        <f t="shared" ref="J6:J17" si="0">I6/D6</f>
        <v>0.17333333333333334</v>
      </c>
    </row>
    <row r="7" spans="2:10" x14ac:dyDescent="0.25">
      <c r="B7" s="3">
        <v>2</v>
      </c>
      <c r="C7" s="77" t="s">
        <v>204</v>
      </c>
      <c r="D7" s="3">
        <v>24</v>
      </c>
      <c r="E7" s="3">
        <v>2</v>
      </c>
      <c r="F7" s="3">
        <v>1</v>
      </c>
      <c r="G7" s="3">
        <v>0</v>
      </c>
      <c r="H7" s="3">
        <v>0</v>
      </c>
      <c r="I7" s="3">
        <f t="shared" ref="I7:I15" si="1">SUM(F7:H7)</f>
        <v>1</v>
      </c>
      <c r="J7" s="78">
        <f t="shared" si="0"/>
        <v>4.1666666666666664E-2</v>
      </c>
    </row>
    <row r="8" spans="2:10" x14ac:dyDescent="0.25">
      <c r="B8" s="3">
        <v>3</v>
      </c>
      <c r="C8" s="77" t="s">
        <v>205</v>
      </c>
      <c r="D8" s="3">
        <v>5</v>
      </c>
      <c r="E8" s="3">
        <v>1</v>
      </c>
      <c r="F8" s="3">
        <v>0</v>
      </c>
      <c r="G8" s="3">
        <v>0</v>
      </c>
      <c r="H8" s="3">
        <v>0</v>
      </c>
      <c r="I8" s="3">
        <f t="shared" si="1"/>
        <v>0</v>
      </c>
      <c r="J8" s="78">
        <f t="shared" si="0"/>
        <v>0</v>
      </c>
    </row>
    <row r="9" spans="2:10" x14ac:dyDescent="0.25">
      <c r="B9" s="3">
        <v>4</v>
      </c>
      <c r="C9" s="77" t="s">
        <v>206</v>
      </c>
      <c r="D9" s="3">
        <v>3</v>
      </c>
      <c r="E9" s="3">
        <v>1</v>
      </c>
      <c r="F9" s="3">
        <v>0</v>
      </c>
      <c r="G9" s="3">
        <v>0</v>
      </c>
      <c r="H9" s="3">
        <v>0</v>
      </c>
      <c r="I9" s="3">
        <f t="shared" si="1"/>
        <v>0</v>
      </c>
      <c r="J9" s="78">
        <f t="shared" si="0"/>
        <v>0</v>
      </c>
    </row>
    <row r="10" spans="2:10" x14ac:dyDescent="0.25">
      <c r="B10" s="3">
        <v>5</v>
      </c>
      <c r="C10" s="77" t="s">
        <v>66</v>
      </c>
      <c r="D10" s="3">
        <v>10</v>
      </c>
      <c r="E10" s="3">
        <v>2</v>
      </c>
      <c r="F10" s="3">
        <v>0</v>
      </c>
      <c r="G10" s="3">
        <v>1</v>
      </c>
      <c r="H10" s="3">
        <v>0</v>
      </c>
      <c r="I10" s="3">
        <f t="shared" si="1"/>
        <v>1</v>
      </c>
      <c r="J10" s="78">
        <f t="shared" si="0"/>
        <v>0.1</v>
      </c>
    </row>
    <row r="11" spans="2:10" x14ac:dyDescent="0.25">
      <c r="B11" s="3">
        <v>6</v>
      </c>
      <c r="C11" s="77" t="s">
        <v>325</v>
      </c>
      <c r="D11" s="3">
        <v>150</v>
      </c>
      <c r="E11" s="3">
        <v>12</v>
      </c>
      <c r="F11" s="3">
        <v>3</v>
      </c>
      <c r="G11" s="3">
        <v>10</v>
      </c>
      <c r="H11" s="3">
        <v>4</v>
      </c>
      <c r="I11" s="3">
        <f t="shared" si="1"/>
        <v>17</v>
      </c>
      <c r="J11" s="78">
        <f t="shared" si="0"/>
        <v>0.11333333333333333</v>
      </c>
    </row>
    <row r="12" spans="2:10" x14ac:dyDescent="0.25">
      <c r="B12" s="3">
        <v>7</v>
      </c>
      <c r="C12" s="77" t="s">
        <v>326</v>
      </c>
      <c r="D12" s="3">
        <v>100</v>
      </c>
      <c r="E12" s="3">
        <v>8</v>
      </c>
      <c r="F12" s="3">
        <v>10</v>
      </c>
      <c r="G12" s="3">
        <v>0</v>
      </c>
      <c r="H12" s="3">
        <v>0</v>
      </c>
      <c r="I12" s="3">
        <f t="shared" si="1"/>
        <v>10</v>
      </c>
      <c r="J12" s="78">
        <f t="shared" si="0"/>
        <v>0.1</v>
      </c>
    </row>
    <row r="13" spans="2:10" x14ac:dyDescent="0.25">
      <c r="B13" s="3">
        <v>8</v>
      </c>
      <c r="C13" s="77" t="s">
        <v>327</v>
      </c>
      <c r="D13" s="3">
        <v>100</v>
      </c>
      <c r="E13" s="3">
        <v>8</v>
      </c>
      <c r="F13" s="3">
        <v>0</v>
      </c>
      <c r="G13" s="3">
        <v>25</v>
      </c>
      <c r="H13" s="3">
        <v>0</v>
      </c>
      <c r="I13" s="3">
        <f t="shared" si="1"/>
        <v>25</v>
      </c>
      <c r="J13" s="78">
        <f t="shared" si="0"/>
        <v>0.25</v>
      </c>
    </row>
    <row r="14" spans="2:10" x14ac:dyDescent="0.25">
      <c r="B14" s="3">
        <v>9</v>
      </c>
      <c r="C14" s="77" t="s">
        <v>328</v>
      </c>
      <c r="D14" s="3">
        <v>100</v>
      </c>
      <c r="E14" s="3">
        <v>8</v>
      </c>
      <c r="F14" s="3">
        <v>5</v>
      </c>
      <c r="G14" s="3">
        <v>0</v>
      </c>
      <c r="H14" s="3">
        <v>0</v>
      </c>
      <c r="I14" s="3">
        <f t="shared" si="1"/>
        <v>5</v>
      </c>
      <c r="J14" s="78">
        <f t="shared" si="0"/>
        <v>0.05</v>
      </c>
    </row>
    <row r="15" spans="2:10" x14ac:dyDescent="0.25">
      <c r="B15" s="3">
        <v>10</v>
      </c>
      <c r="C15" s="77" t="s">
        <v>207</v>
      </c>
      <c r="D15" s="3">
        <v>18</v>
      </c>
      <c r="E15" s="3">
        <v>2</v>
      </c>
      <c r="F15" s="3">
        <v>3</v>
      </c>
      <c r="G15" s="3">
        <v>1</v>
      </c>
      <c r="H15" s="3">
        <v>0</v>
      </c>
      <c r="I15" s="3">
        <f t="shared" si="1"/>
        <v>4</v>
      </c>
      <c r="J15" s="78">
        <f t="shared" si="0"/>
        <v>0.22222222222222221</v>
      </c>
    </row>
    <row r="16" spans="2:10" x14ac:dyDescent="0.25">
      <c r="B16" s="3">
        <v>11</v>
      </c>
      <c r="C16" s="77" t="s">
        <v>108</v>
      </c>
      <c r="D16" s="3">
        <v>25</v>
      </c>
      <c r="E16" s="3">
        <v>2</v>
      </c>
      <c r="F16" s="3">
        <v>0</v>
      </c>
      <c r="G16" s="3">
        <v>0</v>
      </c>
      <c r="H16" s="3">
        <v>0</v>
      </c>
      <c r="I16" s="3">
        <f>SUM(F16:H16)</f>
        <v>0</v>
      </c>
      <c r="J16" s="78">
        <f t="shared" si="0"/>
        <v>0</v>
      </c>
    </row>
    <row r="17" spans="2:10" x14ac:dyDescent="0.25">
      <c r="B17" s="3">
        <v>12</v>
      </c>
      <c r="C17" s="77" t="s">
        <v>208</v>
      </c>
      <c r="D17" s="3">
        <v>210</v>
      </c>
      <c r="E17" s="3"/>
      <c r="F17" s="3">
        <v>9</v>
      </c>
      <c r="G17" s="3">
        <v>9</v>
      </c>
      <c r="H17" s="3">
        <v>16</v>
      </c>
      <c r="I17" s="3">
        <f>SUM(F17:H17)</f>
        <v>34</v>
      </c>
      <c r="J17" s="78">
        <f t="shared" si="0"/>
        <v>0.16190476190476191</v>
      </c>
    </row>
    <row r="18" spans="2:10" x14ac:dyDescent="0.25">
      <c r="B18" s="154" t="s">
        <v>209</v>
      </c>
      <c r="C18" s="155"/>
      <c r="D18" s="155"/>
      <c r="E18" s="155"/>
      <c r="F18" s="155"/>
      <c r="G18" s="155"/>
      <c r="H18" s="155"/>
      <c r="I18" s="155"/>
      <c r="J18" s="156"/>
    </row>
    <row r="19" spans="2:10" x14ac:dyDescent="0.25">
      <c r="B19" s="157" t="s">
        <v>210</v>
      </c>
      <c r="C19" s="157"/>
      <c r="D19" s="157"/>
      <c r="E19" s="157"/>
      <c r="F19" s="157"/>
      <c r="G19" s="157"/>
      <c r="H19" s="157"/>
      <c r="I19" s="157"/>
      <c r="J19" s="157"/>
    </row>
    <row r="21" spans="2:10" x14ac:dyDescent="0.25">
      <c r="B21" s="158" t="s">
        <v>211</v>
      </c>
      <c r="C21" s="158"/>
      <c r="D21" s="159" t="s">
        <v>212</v>
      </c>
      <c r="E21" s="160"/>
      <c r="F21" s="160"/>
      <c r="G21" s="161"/>
      <c r="H21" s="76" t="s">
        <v>213</v>
      </c>
      <c r="I21" s="76" t="s">
        <v>214</v>
      </c>
      <c r="J21" s="76" t="s">
        <v>215</v>
      </c>
    </row>
    <row r="22" spans="2:10" x14ac:dyDescent="0.25">
      <c r="B22" s="162" t="s">
        <v>216</v>
      </c>
      <c r="C22" s="162"/>
      <c r="D22" s="163" t="s">
        <v>303</v>
      </c>
      <c r="E22" s="164"/>
      <c r="F22" s="164"/>
      <c r="G22" s="165"/>
      <c r="H22" s="79"/>
      <c r="I22" s="79"/>
      <c r="J22" s="79"/>
    </row>
    <row r="23" spans="2:10" x14ac:dyDescent="0.25">
      <c r="B23" s="162" t="s">
        <v>217</v>
      </c>
      <c r="C23" s="162"/>
      <c r="D23" s="163" t="s">
        <v>296</v>
      </c>
      <c r="E23" s="164"/>
      <c r="F23" s="164"/>
      <c r="G23" s="165"/>
      <c r="H23" s="107">
        <v>14800</v>
      </c>
      <c r="I23" s="107">
        <v>11200</v>
      </c>
      <c r="J23" s="107">
        <f>SUM(H23-I23)</f>
        <v>3600</v>
      </c>
    </row>
    <row r="24" spans="2:10" x14ac:dyDescent="0.25">
      <c r="B24" s="166" t="s">
        <v>307</v>
      </c>
      <c r="C24" s="167"/>
      <c r="D24" s="163" t="s">
        <v>297</v>
      </c>
      <c r="E24" s="164"/>
      <c r="F24" s="164"/>
      <c r="G24" s="165"/>
      <c r="H24" s="107">
        <v>17800</v>
      </c>
      <c r="I24" s="107">
        <v>14500</v>
      </c>
      <c r="J24" s="107">
        <f>SUM(H24-I24)</f>
        <v>3300</v>
      </c>
    </row>
    <row r="25" spans="2:10" x14ac:dyDescent="0.25">
      <c r="B25" s="162" t="s">
        <v>218</v>
      </c>
      <c r="C25" s="162"/>
      <c r="D25" s="168" t="s">
        <v>305</v>
      </c>
      <c r="E25" s="169"/>
      <c r="F25" s="169"/>
      <c r="G25" s="170"/>
      <c r="H25" s="108">
        <v>137900</v>
      </c>
      <c r="I25" s="108">
        <v>103400</v>
      </c>
      <c r="J25" s="109">
        <f>SUM(H25-I25)</f>
        <v>34500</v>
      </c>
    </row>
    <row r="26" spans="2:10" x14ac:dyDescent="0.25">
      <c r="B26" s="162" t="s">
        <v>306</v>
      </c>
      <c r="C26" s="162"/>
      <c r="D26" s="168" t="s">
        <v>304</v>
      </c>
      <c r="E26" s="169"/>
      <c r="F26" s="169"/>
      <c r="G26" s="170"/>
      <c r="H26" s="108">
        <v>20750</v>
      </c>
      <c r="I26" s="108">
        <v>14637.05</v>
      </c>
      <c r="J26" s="109">
        <f>SUM(H26-I26)</f>
        <v>6112.9500000000007</v>
      </c>
    </row>
    <row r="28" spans="2:10" ht="16.5" x14ac:dyDescent="0.25">
      <c r="B28" s="175" t="s">
        <v>219</v>
      </c>
      <c r="C28" s="175"/>
      <c r="D28" s="175"/>
      <c r="E28" s="175"/>
      <c r="F28" s="175"/>
      <c r="G28" s="175"/>
      <c r="H28" s="175"/>
    </row>
    <row r="29" spans="2:10" x14ac:dyDescent="0.25">
      <c r="B29" s="80" t="s">
        <v>220</v>
      </c>
      <c r="C29" s="176" t="s">
        <v>221</v>
      </c>
      <c r="D29" s="176"/>
      <c r="E29" s="176"/>
      <c r="F29" s="176"/>
      <c r="G29" s="176"/>
      <c r="H29" s="80" t="s">
        <v>222</v>
      </c>
    </row>
    <row r="30" spans="2:10" ht="28.5" x14ac:dyDescent="0.25">
      <c r="B30" s="81" t="s">
        <v>223</v>
      </c>
      <c r="C30" s="174" t="s">
        <v>224</v>
      </c>
      <c r="D30" s="174"/>
      <c r="E30" s="174"/>
      <c r="F30" s="174"/>
      <c r="G30" s="174"/>
      <c r="H30" s="82" t="s">
        <v>225</v>
      </c>
    </row>
    <row r="31" spans="2:10" ht="28.5" x14ac:dyDescent="0.25">
      <c r="B31" s="81" t="s">
        <v>226</v>
      </c>
      <c r="C31" s="174" t="s">
        <v>227</v>
      </c>
      <c r="D31" s="174"/>
      <c r="E31" s="174"/>
      <c r="F31" s="174"/>
      <c r="G31" s="174"/>
      <c r="H31" s="82" t="s">
        <v>228</v>
      </c>
    </row>
    <row r="32" spans="2:10" x14ac:dyDescent="0.25">
      <c r="B32" s="81" t="s">
        <v>309</v>
      </c>
      <c r="C32" s="177" t="s">
        <v>310</v>
      </c>
      <c r="D32" s="178"/>
      <c r="E32" s="178"/>
      <c r="F32" s="178"/>
      <c r="G32" s="179"/>
      <c r="H32" s="82"/>
    </row>
    <row r="33" spans="2:10" x14ac:dyDescent="0.25">
      <c r="B33" s="81" t="s">
        <v>229</v>
      </c>
      <c r="C33" s="174" t="s">
        <v>230</v>
      </c>
      <c r="D33" s="174"/>
      <c r="E33" s="174"/>
      <c r="F33" s="174"/>
      <c r="G33" s="174"/>
      <c r="H33" s="82" t="s">
        <v>231</v>
      </c>
    </row>
    <row r="36" spans="2:10" ht="21" x14ac:dyDescent="0.35">
      <c r="B36" s="153" t="s">
        <v>289</v>
      </c>
      <c r="C36" s="153"/>
      <c r="D36" s="153"/>
      <c r="E36" s="153"/>
      <c r="F36" s="153"/>
      <c r="G36" s="153"/>
      <c r="H36" s="153"/>
      <c r="I36" s="153"/>
      <c r="J36" s="153"/>
    </row>
    <row r="39" spans="2:10" x14ac:dyDescent="0.25">
      <c r="B39" s="76" t="s">
        <v>195</v>
      </c>
      <c r="C39" s="76" t="s">
        <v>196</v>
      </c>
      <c r="D39" s="76" t="s">
        <v>197</v>
      </c>
      <c r="E39" s="76" t="s">
        <v>104</v>
      </c>
      <c r="F39" s="76" t="s">
        <v>290</v>
      </c>
      <c r="G39" s="76" t="s">
        <v>291</v>
      </c>
      <c r="H39" s="76" t="s">
        <v>292</v>
      </c>
      <c r="I39" s="76" t="s">
        <v>293</v>
      </c>
      <c r="J39" s="76" t="s">
        <v>202</v>
      </c>
    </row>
    <row r="40" spans="2:10" x14ac:dyDescent="0.25">
      <c r="B40" s="3">
        <v>1</v>
      </c>
      <c r="C40" s="77" t="s">
        <v>203</v>
      </c>
      <c r="D40" s="3">
        <v>75</v>
      </c>
      <c r="E40" s="3">
        <v>6</v>
      </c>
      <c r="F40" s="3">
        <v>1</v>
      </c>
      <c r="G40" s="3">
        <v>1</v>
      </c>
      <c r="H40" s="3">
        <v>1</v>
      </c>
      <c r="I40" s="3">
        <f t="shared" ref="I40:I51" si="2">SUM(F40:H40)</f>
        <v>3</v>
      </c>
      <c r="J40" s="78">
        <f t="shared" ref="J40:J51" si="3">I40/D40</f>
        <v>0.04</v>
      </c>
    </row>
    <row r="41" spans="2:10" x14ac:dyDescent="0.25">
      <c r="B41" s="3">
        <v>2</v>
      </c>
      <c r="C41" s="77" t="s">
        <v>204</v>
      </c>
      <c r="D41" s="3">
        <v>24</v>
      </c>
      <c r="E41" s="3">
        <v>2</v>
      </c>
      <c r="F41" s="3">
        <v>0</v>
      </c>
      <c r="G41" s="3">
        <v>0</v>
      </c>
      <c r="H41" s="3">
        <v>1</v>
      </c>
      <c r="I41" s="3">
        <f t="shared" si="2"/>
        <v>1</v>
      </c>
      <c r="J41" s="78">
        <f t="shared" si="3"/>
        <v>4.1666666666666664E-2</v>
      </c>
    </row>
    <row r="42" spans="2:10" x14ac:dyDescent="0.25">
      <c r="B42" s="3">
        <v>3</v>
      </c>
      <c r="C42" s="77" t="s">
        <v>205</v>
      </c>
      <c r="D42" s="3">
        <v>5</v>
      </c>
      <c r="E42" s="3">
        <v>1</v>
      </c>
      <c r="F42" s="3">
        <v>0</v>
      </c>
      <c r="G42" s="3">
        <v>0</v>
      </c>
      <c r="H42" s="3">
        <v>0</v>
      </c>
      <c r="I42" s="3">
        <f t="shared" si="2"/>
        <v>0</v>
      </c>
      <c r="J42" s="78">
        <f t="shared" si="3"/>
        <v>0</v>
      </c>
    </row>
    <row r="43" spans="2:10" x14ac:dyDescent="0.25">
      <c r="B43" s="3">
        <v>4</v>
      </c>
      <c r="C43" s="77" t="s">
        <v>206</v>
      </c>
      <c r="D43" s="3">
        <v>3</v>
      </c>
      <c r="E43" s="3">
        <v>1</v>
      </c>
      <c r="F43" s="3">
        <v>0</v>
      </c>
      <c r="G43" s="3">
        <v>0</v>
      </c>
      <c r="H43" s="3">
        <v>0</v>
      </c>
      <c r="I43" s="3">
        <f t="shared" si="2"/>
        <v>0</v>
      </c>
      <c r="J43" s="78">
        <f t="shared" si="3"/>
        <v>0</v>
      </c>
    </row>
    <row r="44" spans="2:10" x14ac:dyDescent="0.25">
      <c r="B44" s="3">
        <v>5</v>
      </c>
      <c r="C44" s="77" t="s">
        <v>66</v>
      </c>
      <c r="D44" s="3">
        <v>10</v>
      </c>
      <c r="E44" s="3">
        <v>2</v>
      </c>
      <c r="F44" s="3">
        <v>0</v>
      </c>
      <c r="G44" s="3">
        <v>1</v>
      </c>
      <c r="H44" s="3">
        <v>0</v>
      </c>
      <c r="I44" s="3">
        <f t="shared" si="2"/>
        <v>1</v>
      </c>
      <c r="J44" s="78">
        <f t="shared" si="3"/>
        <v>0.1</v>
      </c>
    </row>
    <row r="45" spans="2:10" x14ac:dyDescent="0.25">
      <c r="B45" s="3">
        <v>6</v>
      </c>
      <c r="C45" s="77" t="s">
        <v>325</v>
      </c>
      <c r="D45" s="3">
        <v>150</v>
      </c>
      <c r="E45" s="3">
        <v>12</v>
      </c>
      <c r="F45" s="3">
        <v>4</v>
      </c>
      <c r="G45" s="3">
        <v>8</v>
      </c>
      <c r="H45" s="3">
        <v>4</v>
      </c>
      <c r="I45" s="3">
        <f t="shared" si="2"/>
        <v>16</v>
      </c>
      <c r="J45" s="78">
        <f t="shared" si="3"/>
        <v>0.10666666666666667</v>
      </c>
    </row>
    <row r="46" spans="2:10" x14ac:dyDescent="0.25">
      <c r="B46" s="3">
        <v>7</v>
      </c>
      <c r="C46" s="77" t="s">
        <v>326</v>
      </c>
      <c r="D46" s="3">
        <v>100</v>
      </c>
      <c r="E46" s="3">
        <v>8</v>
      </c>
      <c r="F46" s="3">
        <v>4</v>
      </c>
      <c r="G46" s="3">
        <v>0</v>
      </c>
      <c r="H46" s="3">
        <v>0</v>
      </c>
      <c r="I46" s="3">
        <f t="shared" si="2"/>
        <v>4</v>
      </c>
      <c r="J46" s="78">
        <f t="shared" si="3"/>
        <v>0.04</v>
      </c>
    </row>
    <row r="47" spans="2:10" x14ac:dyDescent="0.25">
      <c r="B47" s="3">
        <v>8</v>
      </c>
      <c r="C47" s="77" t="s">
        <v>327</v>
      </c>
      <c r="D47" s="3">
        <v>100</v>
      </c>
      <c r="E47" s="3">
        <v>8</v>
      </c>
      <c r="F47" s="3">
        <v>16</v>
      </c>
      <c r="G47" s="3">
        <v>0</v>
      </c>
      <c r="H47" s="3">
        <v>0</v>
      </c>
      <c r="I47" s="3">
        <f t="shared" si="2"/>
        <v>16</v>
      </c>
      <c r="J47" s="78">
        <f t="shared" si="3"/>
        <v>0.16</v>
      </c>
    </row>
    <row r="48" spans="2:10" x14ac:dyDescent="0.25">
      <c r="B48" s="3">
        <v>9</v>
      </c>
      <c r="C48" s="77" t="s">
        <v>328</v>
      </c>
      <c r="D48" s="3">
        <v>100</v>
      </c>
      <c r="E48" s="3">
        <v>8</v>
      </c>
      <c r="F48" s="3">
        <v>0</v>
      </c>
      <c r="G48" s="3">
        <v>10</v>
      </c>
      <c r="H48" s="3">
        <v>0</v>
      </c>
      <c r="I48" s="3">
        <f t="shared" si="2"/>
        <v>10</v>
      </c>
      <c r="J48" s="78">
        <f t="shared" si="3"/>
        <v>0.1</v>
      </c>
    </row>
    <row r="49" spans="2:10" x14ac:dyDescent="0.25">
      <c r="B49" s="3">
        <v>10</v>
      </c>
      <c r="C49" s="77" t="s">
        <v>207</v>
      </c>
      <c r="D49" s="3">
        <v>18</v>
      </c>
      <c r="E49" s="3">
        <v>2</v>
      </c>
      <c r="F49" s="3">
        <v>1</v>
      </c>
      <c r="G49" s="3">
        <v>0</v>
      </c>
      <c r="H49" s="3">
        <v>0</v>
      </c>
      <c r="I49" s="3">
        <f t="shared" si="2"/>
        <v>1</v>
      </c>
      <c r="J49" s="78">
        <f t="shared" si="3"/>
        <v>5.5555555555555552E-2</v>
      </c>
    </row>
    <row r="50" spans="2:10" x14ac:dyDescent="0.25">
      <c r="B50" s="3">
        <v>11</v>
      </c>
      <c r="C50" s="77" t="s">
        <v>108</v>
      </c>
      <c r="D50" s="3">
        <v>25</v>
      </c>
      <c r="E50" s="3">
        <v>2</v>
      </c>
      <c r="F50" s="3">
        <v>0</v>
      </c>
      <c r="G50" s="3">
        <v>0</v>
      </c>
      <c r="H50" s="3">
        <v>0</v>
      </c>
      <c r="I50" s="3">
        <f t="shared" si="2"/>
        <v>0</v>
      </c>
      <c r="J50" s="78">
        <f t="shared" si="3"/>
        <v>0</v>
      </c>
    </row>
    <row r="51" spans="2:10" x14ac:dyDescent="0.25">
      <c r="B51" s="3">
        <v>12</v>
      </c>
      <c r="C51" s="77" t="s">
        <v>208</v>
      </c>
      <c r="D51" s="3">
        <v>210</v>
      </c>
      <c r="E51" s="3"/>
      <c r="F51" s="3">
        <v>13</v>
      </c>
      <c r="G51" s="3">
        <v>32</v>
      </c>
      <c r="H51" s="3">
        <v>17</v>
      </c>
      <c r="I51" s="3">
        <f t="shared" si="2"/>
        <v>62</v>
      </c>
      <c r="J51" s="78">
        <f t="shared" si="3"/>
        <v>0.29523809523809524</v>
      </c>
    </row>
    <row r="52" spans="2:10" x14ac:dyDescent="0.25">
      <c r="B52" s="154" t="s">
        <v>209</v>
      </c>
      <c r="C52" s="155"/>
      <c r="D52" s="155"/>
      <c r="E52" s="155"/>
      <c r="F52" s="155"/>
      <c r="G52" s="155"/>
      <c r="H52" s="155"/>
      <c r="I52" s="155"/>
      <c r="J52" s="156"/>
    </row>
    <row r="53" spans="2:10" x14ac:dyDescent="0.25">
      <c r="B53" s="171" t="s">
        <v>210</v>
      </c>
      <c r="C53" s="172"/>
      <c r="D53" s="172"/>
      <c r="E53" s="172"/>
      <c r="F53" s="172"/>
      <c r="G53" s="172"/>
      <c r="H53" s="172"/>
      <c r="I53" s="172"/>
      <c r="J53" s="173"/>
    </row>
    <row r="56" spans="2:10" ht="21" x14ac:dyDescent="0.35">
      <c r="B56" s="153" t="s">
        <v>298</v>
      </c>
      <c r="C56" s="153"/>
      <c r="D56" s="153"/>
      <c r="E56" s="153"/>
      <c r="F56" s="153"/>
      <c r="G56" s="153"/>
      <c r="H56" s="153"/>
      <c r="I56" s="153"/>
      <c r="J56" s="153"/>
    </row>
    <row r="58" spans="2:10" x14ac:dyDescent="0.25">
      <c r="B58" s="76" t="s">
        <v>195</v>
      </c>
      <c r="C58" s="76" t="s">
        <v>196</v>
      </c>
      <c r="D58" s="76" t="s">
        <v>197</v>
      </c>
      <c r="E58" s="76" t="s">
        <v>104</v>
      </c>
      <c r="F58" s="76" t="s">
        <v>299</v>
      </c>
      <c r="G58" s="76" t="s">
        <v>300</v>
      </c>
      <c r="H58" s="76" t="s">
        <v>301</v>
      </c>
      <c r="I58" s="76" t="s">
        <v>302</v>
      </c>
      <c r="J58" s="76" t="s">
        <v>202</v>
      </c>
    </row>
    <row r="59" spans="2:10" x14ac:dyDescent="0.25">
      <c r="B59" s="3">
        <v>1</v>
      </c>
      <c r="C59" s="77" t="s">
        <v>203</v>
      </c>
      <c r="D59" s="3">
        <v>75</v>
      </c>
      <c r="E59" s="3">
        <v>6</v>
      </c>
      <c r="F59" s="3">
        <v>0</v>
      </c>
      <c r="G59" s="3"/>
      <c r="H59" s="3"/>
      <c r="I59" s="3"/>
      <c r="J59" s="78">
        <f t="shared" ref="J59:J70" si="4">I59/D59</f>
        <v>0</v>
      </c>
    </row>
    <row r="60" spans="2:10" x14ac:dyDescent="0.25">
      <c r="B60" s="3">
        <v>2</v>
      </c>
      <c r="C60" s="77" t="s">
        <v>204</v>
      </c>
      <c r="D60" s="3">
        <v>24</v>
      </c>
      <c r="E60" s="3">
        <v>2</v>
      </c>
      <c r="F60" s="3">
        <v>0</v>
      </c>
      <c r="G60" s="3"/>
      <c r="H60" s="3"/>
      <c r="I60" s="3"/>
      <c r="J60" s="78">
        <f t="shared" si="4"/>
        <v>0</v>
      </c>
    </row>
    <row r="61" spans="2:10" x14ac:dyDescent="0.25">
      <c r="B61" s="3">
        <v>3</v>
      </c>
      <c r="C61" s="77" t="s">
        <v>205</v>
      </c>
      <c r="D61" s="3">
        <v>5</v>
      </c>
      <c r="E61" s="3">
        <v>1</v>
      </c>
      <c r="F61" s="3">
        <v>1</v>
      </c>
      <c r="G61" s="3"/>
      <c r="H61" s="3"/>
      <c r="I61" s="3"/>
      <c r="J61" s="78">
        <f t="shared" si="4"/>
        <v>0</v>
      </c>
    </row>
    <row r="62" spans="2:10" x14ac:dyDescent="0.25">
      <c r="B62" s="3">
        <v>4</v>
      </c>
      <c r="C62" s="77" t="s">
        <v>206</v>
      </c>
      <c r="D62" s="3">
        <v>3</v>
      </c>
      <c r="E62" s="3">
        <v>1</v>
      </c>
      <c r="F62" s="3">
        <v>0</v>
      </c>
      <c r="G62" s="3"/>
      <c r="H62" s="3"/>
      <c r="I62" s="3"/>
      <c r="J62" s="78">
        <f t="shared" si="4"/>
        <v>0</v>
      </c>
    </row>
    <row r="63" spans="2:10" x14ac:dyDescent="0.25">
      <c r="B63" s="3">
        <v>5</v>
      </c>
      <c r="C63" s="77" t="s">
        <v>66</v>
      </c>
      <c r="D63" s="3">
        <v>10</v>
      </c>
      <c r="E63" s="3">
        <v>2</v>
      </c>
      <c r="F63" s="3">
        <v>0</v>
      </c>
      <c r="G63" s="3"/>
      <c r="H63" s="3"/>
      <c r="I63" s="3"/>
      <c r="J63" s="78">
        <f t="shared" si="4"/>
        <v>0</v>
      </c>
    </row>
    <row r="64" spans="2:10" x14ac:dyDescent="0.25">
      <c r="B64" s="3">
        <v>6</v>
      </c>
      <c r="C64" s="77" t="s">
        <v>325</v>
      </c>
      <c r="D64" s="3">
        <v>150</v>
      </c>
      <c r="E64" s="3">
        <v>12</v>
      </c>
      <c r="F64" s="3">
        <v>0</v>
      </c>
      <c r="G64" s="3"/>
      <c r="H64" s="3"/>
      <c r="I64" s="3"/>
      <c r="J64" s="78">
        <f t="shared" si="4"/>
        <v>0</v>
      </c>
    </row>
    <row r="65" spans="2:10" x14ac:dyDescent="0.25">
      <c r="B65" s="3">
        <v>7</v>
      </c>
      <c r="C65" s="77" t="s">
        <v>326</v>
      </c>
      <c r="D65" s="3">
        <v>100</v>
      </c>
      <c r="E65" s="3">
        <v>8</v>
      </c>
      <c r="F65" s="3">
        <v>0</v>
      </c>
      <c r="G65" s="3"/>
      <c r="H65" s="3"/>
      <c r="I65" s="3"/>
      <c r="J65" s="78">
        <f t="shared" si="4"/>
        <v>0</v>
      </c>
    </row>
    <row r="66" spans="2:10" x14ac:dyDescent="0.25">
      <c r="B66" s="3">
        <v>8</v>
      </c>
      <c r="C66" s="77" t="s">
        <v>327</v>
      </c>
      <c r="D66" s="3">
        <v>100</v>
      </c>
      <c r="E66" s="3">
        <v>8</v>
      </c>
      <c r="F66" s="3">
        <v>0</v>
      </c>
      <c r="G66" s="3"/>
      <c r="H66" s="3"/>
      <c r="I66" s="3"/>
      <c r="J66" s="78">
        <f t="shared" si="4"/>
        <v>0</v>
      </c>
    </row>
    <row r="67" spans="2:10" x14ac:dyDescent="0.25">
      <c r="B67" s="3">
        <v>9</v>
      </c>
      <c r="C67" s="77" t="s">
        <v>328</v>
      </c>
      <c r="D67" s="3">
        <v>100</v>
      </c>
      <c r="E67" s="3">
        <v>8</v>
      </c>
      <c r="F67" s="3">
        <v>0</v>
      </c>
      <c r="G67" s="3"/>
      <c r="H67" s="3"/>
      <c r="I67" s="3"/>
      <c r="J67" s="78">
        <f t="shared" si="4"/>
        <v>0</v>
      </c>
    </row>
    <row r="68" spans="2:10" x14ac:dyDescent="0.25">
      <c r="B68" s="3">
        <v>10</v>
      </c>
      <c r="C68" s="77" t="s">
        <v>207</v>
      </c>
      <c r="D68" s="3">
        <v>18</v>
      </c>
      <c r="E68" s="3">
        <v>2</v>
      </c>
      <c r="F68" s="3">
        <v>0</v>
      </c>
      <c r="G68" s="3"/>
      <c r="H68" s="3"/>
      <c r="I68" s="3"/>
      <c r="J68" s="78">
        <f t="shared" si="4"/>
        <v>0</v>
      </c>
    </row>
    <row r="69" spans="2:10" x14ac:dyDescent="0.25">
      <c r="B69" s="3">
        <v>11</v>
      </c>
      <c r="C69" s="77" t="s">
        <v>108</v>
      </c>
      <c r="D69" s="3">
        <v>25</v>
      </c>
      <c r="E69" s="3">
        <v>2</v>
      </c>
      <c r="F69" s="3">
        <v>0</v>
      </c>
      <c r="G69" s="3"/>
      <c r="H69" s="3"/>
      <c r="I69" s="3"/>
      <c r="J69" s="78">
        <f t="shared" si="4"/>
        <v>0</v>
      </c>
    </row>
    <row r="70" spans="2:10" x14ac:dyDescent="0.25">
      <c r="B70" s="3">
        <v>12</v>
      </c>
      <c r="C70" s="77" t="s">
        <v>208</v>
      </c>
      <c r="D70" s="3">
        <v>210</v>
      </c>
      <c r="E70" s="3"/>
      <c r="F70" s="3">
        <v>0</v>
      </c>
      <c r="G70" s="3"/>
      <c r="H70" s="3"/>
      <c r="I70" s="3"/>
      <c r="J70" s="78">
        <f t="shared" si="4"/>
        <v>0</v>
      </c>
    </row>
    <row r="71" spans="2:10" x14ac:dyDescent="0.25">
      <c r="B71" s="154" t="s">
        <v>209</v>
      </c>
      <c r="C71" s="155"/>
      <c r="D71" s="155"/>
      <c r="E71" s="155"/>
      <c r="F71" s="155"/>
      <c r="G71" s="155"/>
      <c r="H71" s="155"/>
      <c r="I71" s="155"/>
      <c r="J71" s="156"/>
    </row>
    <row r="72" spans="2:10" x14ac:dyDescent="0.25">
      <c r="B72" s="171" t="s">
        <v>210</v>
      </c>
      <c r="C72" s="172"/>
      <c r="D72" s="172"/>
      <c r="E72" s="172"/>
      <c r="F72" s="172"/>
      <c r="G72" s="172"/>
      <c r="H72" s="172"/>
      <c r="I72" s="172"/>
      <c r="J72" s="173"/>
    </row>
    <row r="75" spans="2:10" ht="21" x14ac:dyDescent="0.35">
      <c r="B75" s="153" t="s">
        <v>308</v>
      </c>
      <c r="C75" s="153"/>
      <c r="D75" s="153"/>
      <c r="E75" s="153"/>
      <c r="F75" s="153"/>
      <c r="G75" s="153"/>
      <c r="H75" s="153"/>
      <c r="I75" s="153"/>
      <c r="J75" s="153"/>
    </row>
    <row r="77" spans="2:10" x14ac:dyDescent="0.25">
      <c r="B77" s="76" t="s">
        <v>195</v>
      </c>
      <c r="C77" s="76" t="s">
        <v>196</v>
      </c>
      <c r="D77" s="76" t="s">
        <v>197</v>
      </c>
      <c r="E77" s="76" t="s">
        <v>104</v>
      </c>
      <c r="F77" s="76" t="s">
        <v>311</v>
      </c>
      <c r="G77" s="76" t="s">
        <v>312</v>
      </c>
      <c r="H77" s="76" t="s">
        <v>313</v>
      </c>
      <c r="I77" s="76" t="s">
        <v>314</v>
      </c>
      <c r="J77" s="76" t="s">
        <v>202</v>
      </c>
    </row>
    <row r="78" spans="2:10" x14ac:dyDescent="0.25">
      <c r="B78" s="3">
        <v>1</v>
      </c>
      <c r="C78" s="77" t="s">
        <v>203</v>
      </c>
      <c r="D78" s="3">
        <v>75</v>
      </c>
      <c r="E78" s="3">
        <v>6</v>
      </c>
      <c r="F78" s="3"/>
      <c r="G78" s="3"/>
      <c r="H78" s="3"/>
      <c r="I78" s="3"/>
      <c r="J78" s="78">
        <f t="shared" ref="J78:J89" si="5">I78/D78</f>
        <v>0</v>
      </c>
    </row>
    <row r="79" spans="2:10" x14ac:dyDescent="0.25">
      <c r="B79" s="3">
        <v>2</v>
      </c>
      <c r="C79" s="77" t="s">
        <v>204</v>
      </c>
      <c r="D79" s="3">
        <v>24</v>
      </c>
      <c r="E79" s="3">
        <v>2</v>
      </c>
      <c r="F79" s="3"/>
      <c r="G79" s="3"/>
      <c r="H79" s="3"/>
      <c r="I79" s="3"/>
      <c r="J79" s="78">
        <f t="shared" si="5"/>
        <v>0</v>
      </c>
    </row>
    <row r="80" spans="2:10" x14ac:dyDescent="0.25">
      <c r="B80" s="3">
        <v>3</v>
      </c>
      <c r="C80" s="77" t="s">
        <v>205</v>
      </c>
      <c r="D80" s="3">
        <v>5</v>
      </c>
      <c r="E80" s="3">
        <v>1</v>
      </c>
      <c r="F80" s="3"/>
      <c r="G80" s="3"/>
      <c r="H80" s="3"/>
      <c r="I80" s="3"/>
      <c r="J80" s="78">
        <f t="shared" si="5"/>
        <v>0</v>
      </c>
    </row>
    <row r="81" spans="2:10" x14ac:dyDescent="0.25">
      <c r="B81" s="3">
        <v>4</v>
      </c>
      <c r="C81" s="77" t="s">
        <v>206</v>
      </c>
      <c r="D81" s="3">
        <v>3</v>
      </c>
      <c r="E81" s="3">
        <v>1</v>
      </c>
      <c r="F81" s="3"/>
      <c r="G81" s="3"/>
      <c r="H81" s="3"/>
      <c r="I81" s="3"/>
      <c r="J81" s="78">
        <f t="shared" si="5"/>
        <v>0</v>
      </c>
    </row>
    <row r="82" spans="2:10" x14ac:dyDescent="0.25">
      <c r="B82" s="3">
        <v>5</v>
      </c>
      <c r="C82" s="77" t="s">
        <v>66</v>
      </c>
      <c r="D82" s="3">
        <v>10</v>
      </c>
      <c r="E82" s="3">
        <v>2</v>
      </c>
      <c r="F82" s="3"/>
      <c r="G82" s="3"/>
      <c r="H82" s="3"/>
      <c r="I82" s="3"/>
      <c r="J82" s="78">
        <f t="shared" si="5"/>
        <v>0</v>
      </c>
    </row>
    <row r="83" spans="2:10" x14ac:dyDescent="0.25">
      <c r="B83" s="3">
        <v>6</v>
      </c>
      <c r="C83" s="77" t="s">
        <v>325</v>
      </c>
      <c r="D83" s="3">
        <v>150</v>
      </c>
      <c r="E83" s="3">
        <v>12</v>
      </c>
      <c r="F83" s="3"/>
      <c r="G83" s="3"/>
      <c r="H83" s="3"/>
      <c r="I83" s="3"/>
      <c r="J83" s="78">
        <f t="shared" si="5"/>
        <v>0</v>
      </c>
    </row>
    <row r="84" spans="2:10" x14ac:dyDescent="0.25">
      <c r="B84" s="3">
        <v>7</v>
      </c>
      <c r="C84" s="77" t="s">
        <v>326</v>
      </c>
      <c r="D84" s="3">
        <v>100</v>
      </c>
      <c r="E84" s="3">
        <v>8</v>
      </c>
      <c r="F84" s="3"/>
      <c r="G84" s="3"/>
      <c r="H84" s="3"/>
      <c r="I84" s="3"/>
      <c r="J84" s="78">
        <f t="shared" si="5"/>
        <v>0</v>
      </c>
    </row>
    <row r="85" spans="2:10" x14ac:dyDescent="0.25">
      <c r="B85" s="3">
        <v>8</v>
      </c>
      <c r="C85" s="77" t="s">
        <v>327</v>
      </c>
      <c r="D85" s="3">
        <v>100</v>
      </c>
      <c r="E85" s="3">
        <v>8</v>
      </c>
      <c r="F85" s="3"/>
      <c r="G85" s="3"/>
      <c r="H85" s="3"/>
      <c r="I85" s="3"/>
      <c r="J85" s="78">
        <f t="shared" si="5"/>
        <v>0</v>
      </c>
    </row>
    <row r="86" spans="2:10" x14ac:dyDescent="0.25">
      <c r="B86" s="3">
        <v>9</v>
      </c>
      <c r="C86" s="77" t="s">
        <v>328</v>
      </c>
      <c r="D86" s="3">
        <v>100</v>
      </c>
      <c r="E86" s="3">
        <v>8</v>
      </c>
      <c r="F86" s="3"/>
      <c r="G86" s="3"/>
      <c r="H86" s="3"/>
      <c r="I86" s="3"/>
      <c r="J86" s="78">
        <f t="shared" si="5"/>
        <v>0</v>
      </c>
    </row>
    <row r="87" spans="2:10" x14ac:dyDescent="0.25">
      <c r="B87" s="3">
        <v>10</v>
      </c>
      <c r="C87" s="77" t="s">
        <v>207</v>
      </c>
      <c r="D87" s="3">
        <v>18</v>
      </c>
      <c r="E87" s="3">
        <v>2</v>
      </c>
      <c r="F87" s="3"/>
      <c r="G87" s="3"/>
      <c r="H87" s="3"/>
      <c r="I87" s="3"/>
      <c r="J87" s="78">
        <f t="shared" si="5"/>
        <v>0</v>
      </c>
    </row>
    <row r="88" spans="2:10" x14ac:dyDescent="0.25">
      <c r="B88" s="3">
        <v>11</v>
      </c>
      <c r="C88" s="77" t="s">
        <v>108</v>
      </c>
      <c r="D88" s="3">
        <v>25</v>
      </c>
      <c r="E88" s="3">
        <v>2</v>
      </c>
      <c r="F88" s="3"/>
      <c r="G88" s="3"/>
      <c r="H88" s="3"/>
      <c r="I88" s="3"/>
      <c r="J88" s="78">
        <f t="shared" si="5"/>
        <v>0</v>
      </c>
    </row>
    <row r="89" spans="2:10" x14ac:dyDescent="0.25">
      <c r="B89" s="3">
        <v>12</v>
      </c>
      <c r="C89" s="77" t="s">
        <v>208</v>
      </c>
      <c r="D89" s="3">
        <v>210</v>
      </c>
      <c r="E89" s="3"/>
      <c r="F89" s="3"/>
      <c r="G89" s="3"/>
      <c r="H89" s="3"/>
      <c r="I89" s="3"/>
      <c r="J89" s="78">
        <f t="shared" si="5"/>
        <v>0</v>
      </c>
    </row>
    <row r="90" spans="2:10" x14ac:dyDescent="0.25">
      <c r="B90" s="154" t="s">
        <v>209</v>
      </c>
      <c r="C90" s="155"/>
      <c r="D90" s="155"/>
      <c r="E90" s="155"/>
      <c r="F90" s="155"/>
      <c r="G90" s="155"/>
      <c r="H90" s="155"/>
      <c r="I90" s="155"/>
      <c r="J90" s="156"/>
    </row>
    <row r="91" spans="2:10" x14ac:dyDescent="0.25">
      <c r="B91" s="171" t="s">
        <v>210</v>
      </c>
      <c r="C91" s="172"/>
      <c r="D91" s="172"/>
      <c r="E91" s="172"/>
      <c r="F91" s="172"/>
      <c r="G91" s="172"/>
      <c r="H91" s="172"/>
      <c r="I91" s="172"/>
      <c r="J91" s="173"/>
    </row>
  </sheetData>
  <mergeCells count="30">
    <mergeCell ref="B91:J91"/>
    <mergeCell ref="B75:J75"/>
    <mergeCell ref="C32:G32"/>
    <mergeCell ref="B90:J90"/>
    <mergeCell ref="B56:J56"/>
    <mergeCell ref="B71:J71"/>
    <mergeCell ref="B72:J72"/>
    <mergeCell ref="B25:C25"/>
    <mergeCell ref="D25:G25"/>
    <mergeCell ref="B36:J36"/>
    <mergeCell ref="B52:J52"/>
    <mergeCell ref="B53:J53"/>
    <mergeCell ref="C30:G30"/>
    <mergeCell ref="C31:G31"/>
    <mergeCell ref="C33:G33"/>
    <mergeCell ref="B26:C26"/>
    <mergeCell ref="D26:G26"/>
    <mergeCell ref="B28:H28"/>
    <mergeCell ref="C29:G29"/>
    <mergeCell ref="B22:C22"/>
    <mergeCell ref="D22:G22"/>
    <mergeCell ref="B23:C23"/>
    <mergeCell ref="D23:G23"/>
    <mergeCell ref="B24:C24"/>
    <mergeCell ref="D24:G24"/>
    <mergeCell ref="B2:J2"/>
    <mergeCell ref="B18:J18"/>
    <mergeCell ref="B19:J19"/>
    <mergeCell ref="B21:C21"/>
    <mergeCell ref="D21:G21"/>
  </mergeCells>
  <pageMargins left="0.7" right="0.7" top="0.75" bottom="0.75" header="0.3" footer="0.3"/>
  <pageSetup paperSize="9" scale="42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3B74-5796-4A69-8891-F3514A2CC110}">
  <dimension ref="A1:G11"/>
  <sheetViews>
    <sheetView workbookViewId="0">
      <selection activeCell="F28" sqref="F28"/>
    </sheetView>
  </sheetViews>
  <sheetFormatPr defaultRowHeight="15" x14ac:dyDescent="0.25"/>
  <cols>
    <col min="1" max="1" width="20.140625" customWidth="1"/>
    <col min="2" max="2" width="27.85546875" customWidth="1"/>
    <col min="3" max="3" width="19.42578125" customWidth="1"/>
    <col min="4" max="4" width="24" customWidth="1"/>
    <col min="5" max="5" width="17.42578125" customWidth="1"/>
    <col min="6" max="6" width="21" customWidth="1"/>
    <col min="7" max="7" width="17.28515625" customWidth="1"/>
  </cols>
  <sheetData>
    <row r="1" spans="1:7" ht="15.75" thickBot="1" x14ac:dyDescent="0.3">
      <c r="A1" s="92" t="s">
        <v>0</v>
      </c>
      <c r="B1" s="93" t="s">
        <v>240</v>
      </c>
      <c r="C1" s="94" t="s">
        <v>188</v>
      </c>
      <c r="D1" s="93" t="s">
        <v>241</v>
      </c>
      <c r="E1" s="93" t="s">
        <v>242</v>
      </c>
      <c r="F1" s="93" t="s">
        <v>243</v>
      </c>
      <c r="G1" s="95" t="s">
        <v>244</v>
      </c>
    </row>
    <row r="2" spans="1:7" x14ac:dyDescent="0.25">
      <c r="A2" s="39" t="s">
        <v>245</v>
      </c>
      <c r="B2" s="41" t="s">
        <v>246</v>
      </c>
      <c r="C2" s="96">
        <v>1000</v>
      </c>
      <c r="D2" s="41" t="s">
        <v>30</v>
      </c>
      <c r="E2" s="41" t="s">
        <v>247</v>
      </c>
      <c r="F2" s="41">
        <v>217</v>
      </c>
      <c r="G2" s="45" t="s">
        <v>13</v>
      </c>
    </row>
    <row r="3" spans="1:7" x14ac:dyDescent="0.25">
      <c r="A3" s="31" t="s">
        <v>248</v>
      </c>
      <c r="B3" s="3" t="s">
        <v>246</v>
      </c>
      <c r="C3" s="5">
        <v>42000</v>
      </c>
      <c r="D3" s="3" t="s">
        <v>249</v>
      </c>
      <c r="E3" s="3" t="s">
        <v>250</v>
      </c>
      <c r="F3" s="3">
        <v>198</v>
      </c>
      <c r="G3" s="44" t="s">
        <v>13</v>
      </c>
    </row>
    <row r="4" spans="1:7" x14ac:dyDescent="0.25">
      <c r="A4" s="31" t="s">
        <v>248</v>
      </c>
      <c r="B4" s="3" t="s">
        <v>246</v>
      </c>
      <c r="C4" s="5">
        <v>1000</v>
      </c>
      <c r="D4" s="3" t="s">
        <v>30</v>
      </c>
      <c r="E4" s="3" t="s">
        <v>250</v>
      </c>
      <c r="F4" s="3">
        <v>198</v>
      </c>
      <c r="G4" s="44" t="s">
        <v>13</v>
      </c>
    </row>
    <row r="5" spans="1:7" x14ac:dyDescent="0.25">
      <c r="A5" s="31" t="s">
        <v>251</v>
      </c>
      <c r="B5" s="3" t="s">
        <v>246</v>
      </c>
      <c r="C5" s="5">
        <v>2000</v>
      </c>
      <c r="D5" s="3" t="s">
        <v>30</v>
      </c>
      <c r="E5" s="3" t="s">
        <v>252</v>
      </c>
      <c r="F5" s="3">
        <v>188</v>
      </c>
      <c r="G5" s="44" t="s">
        <v>13</v>
      </c>
    </row>
    <row r="6" spans="1:7" x14ac:dyDescent="0.25">
      <c r="A6" s="31" t="s">
        <v>253</v>
      </c>
      <c r="B6" s="3" t="s">
        <v>246</v>
      </c>
      <c r="C6" s="5">
        <v>4200</v>
      </c>
      <c r="D6" s="3" t="s">
        <v>254</v>
      </c>
      <c r="E6" s="3" t="s">
        <v>255</v>
      </c>
      <c r="F6" s="3">
        <v>181</v>
      </c>
      <c r="G6" s="44" t="s">
        <v>13</v>
      </c>
    </row>
    <row r="7" spans="1:7" x14ac:dyDescent="0.25">
      <c r="A7" s="31" t="s">
        <v>256</v>
      </c>
      <c r="B7" s="3" t="s">
        <v>246</v>
      </c>
      <c r="C7" s="5">
        <v>1250</v>
      </c>
      <c r="D7" s="3" t="s">
        <v>257</v>
      </c>
      <c r="E7" s="3" t="s">
        <v>258</v>
      </c>
      <c r="F7" s="3">
        <v>174</v>
      </c>
      <c r="G7" s="44" t="s">
        <v>13</v>
      </c>
    </row>
    <row r="8" spans="1:7" x14ac:dyDescent="0.25">
      <c r="A8" s="31" t="s">
        <v>250</v>
      </c>
      <c r="B8" s="3" t="s">
        <v>246</v>
      </c>
      <c r="C8" s="5">
        <v>10500</v>
      </c>
      <c r="D8" s="3" t="s">
        <v>259</v>
      </c>
      <c r="E8" s="3" t="s">
        <v>260</v>
      </c>
      <c r="F8" s="3">
        <v>168</v>
      </c>
      <c r="G8" s="44" t="s">
        <v>13</v>
      </c>
    </row>
    <row r="9" spans="1:7" x14ac:dyDescent="0.25">
      <c r="A9" s="31" t="s">
        <v>261</v>
      </c>
      <c r="B9" s="3" t="s">
        <v>246</v>
      </c>
      <c r="C9" s="5">
        <v>3600</v>
      </c>
      <c r="D9" s="3" t="s">
        <v>30</v>
      </c>
      <c r="E9" s="3" t="s">
        <v>262</v>
      </c>
      <c r="F9" s="3">
        <v>152</v>
      </c>
      <c r="G9" s="44" t="s">
        <v>13</v>
      </c>
    </row>
    <row r="10" spans="1:7" ht="15.75" thickBot="1" x14ac:dyDescent="0.3">
      <c r="A10" s="40" t="s">
        <v>263</v>
      </c>
      <c r="B10" s="42" t="s">
        <v>246</v>
      </c>
      <c r="C10" s="90">
        <v>1050</v>
      </c>
      <c r="D10" s="42" t="s">
        <v>264</v>
      </c>
      <c r="E10" s="42" t="s">
        <v>265</v>
      </c>
      <c r="F10" s="42">
        <v>148</v>
      </c>
      <c r="G10" s="43" t="s">
        <v>13</v>
      </c>
    </row>
    <row r="11" spans="1:7" ht="15.75" thickBot="1" x14ac:dyDescent="0.3">
      <c r="A11" s="180" t="s">
        <v>266</v>
      </c>
      <c r="B11" s="181"/>
      <c r="C11" s="97">
        <f>SUM(C2:C10)</f>
        <v>66600</v>
      </c>
    </row>
  </sheetData>
  <mergeCells count="1">
    <mergeCell ref="A11:B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BB06-A4AD-4DB6-AF5F-4F54AF99B5F8}">
  <sheetPr>
    <pageSetUpPr fitToPage="1"/>
  </sheetPr>
  <dimension ref="A1:L46"/>
  <sheetViews>
    <sheetView workbookViewId="0">
      <selection activeCell="L3" sqref="L3"/>
    </sheetView>
  </sheetViews>
  <sheetFormatPr defaultRowHeight="15" x14ac:dyDescent="0.25"/>
  <cols>
    <col min="1" max="1" width="10.42578125" style="17" bestFit="1" customWidth="1"/>
    <col min="2" max="2" width="22.7109375" customWidth="1"/>
    <col min="3" max="3" width="38.28515625" customWidth="1"/>
    <col min="4" max="4" width="15.28515625" customWidth="1"/>
    <col min="5" max="5" width="16.140625" customWidth="1"/>
    <col min="6" max="6" width="15.7109375" customWidth="1"/>
    <col min="7" max="7" width="18.85546875" customWidth="1"/>
    <col min="8" max="8" width="18" customWidth="1"/>
    <col min="9" max="9" width="22.140625" customWidth="1"/>
    <col min="10" max="10" width="16.140625" customWidth="1"/>
    <col min="11" max="11" width="14.85546875" customWidth="1"/>
    <col min="12" max="12" width="18.42578125" customWidth="1"/>
  </cols>
  <sheetData>
    <row r="1" spans="1:12" x14ac:dyDescent="0.25">
      <c r="A1" s="15" t="s">
        <v>0</v>
      </c>
      <c r="B1" s="1" t="s">
        <v>9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188</v>
      </c>
      <c r="H1" s="2" t="s">
        <v>6</v>
      </c>
      <c r="I1" s="2" t="s">
        <v>7</v>
      </c>
      <c r="J1" s="2" t="s">
        <v>8</v>
      </c>
      <c r="K1" s="1" t="s">
        <v>10</v>
      </c>
      <c r="L1" s="1" t="s">
        <v>11</v>
      </c>
    </row>
    <row r="2" spans="1:12" x14ac:dyDescent="0.25">
      <c r="A2" s="16">
        <v>46023</v>
      </c>
      <c r="B2" s="3" t="s">
        <v>27</v>
      </c>
      <c r="C2" s="3" t="s">
        <v>26</v>
      </c>
      <c r="D2" s="3">
        <v>1</v>
      </c>
      <c r="E2" s="4">
        <v>119.54</v>
      </c>
      <c r="F2" s="4">
        <v>0</v>
      </c>
      <c r="G2" s="5">
        <v>320</v>
      </c>
      <c r="H2" s="4">
        <v>119.54</v>
      </c>
      <c r="I2" s="4">
        <v>0</v>
      </c>
      <c r="J2" s="5">
        <f>SUM(G2-H2)</f>
        <v>200.45999999999998</v>
      </c>
      <c r="K2" s="3" t="s">
        <v>12</v>
      </c>
      <c r="L2" s="6" t="s">
        <v>16</v>
      </c>
    </row>
    <row r="3" spans="1:12" x14ac:dyDescent="0.25">
      <c r="A3" s="16">
        <v>46023</v>
      </c>
      <c r="B3" s="3" t="s">
        <v>29</v>
      </c>
      <c r="C3" s="3" t="s">
        <v>28</v>
      </c>
      <c r="D3" s="3">
        <v>1</v>
      </c>
      <c r="E3" s="4">
        <v>13265.73</v>
      </c>
      <c r="F3" s="4">
        <v>0</v>
      </c>
      <c r="G3" s="5">
        <v>21500</v>
      </c>
      <c r="H3" s="4">
        <v>250</v>
      </c>
      <c r="I3" s="4">
        <v>2000</v>
      </c>
      <c r="J3" s="5">
        <f>SUM(G3-H3-I3-E3)</f>
        <v>5984.27</v>
      </c>
      <c r="K3" s="3" t="s">
        <v>12</v>
      </c>
      <c r="L3" s="6" t="s">
        <v>16</v>
      </c>
    </row>
    <row r="4" spans="1:12" x14ac:dyDescent="0.25">
      <c r="A4" s="16">
        <v>46023</v>
      </c>
      <c r="B4" s="3" t="s">
        <v>18</v>
      </c>
      <c r="C4" s="3" t="s">
        <v>30</v>
      </c>
      <c r="D4" s="3">
        <v>1</v>
      </c>
      <c r="E4" s="4">
        <v>0</v>
      </c>
      <c r="F4" s="4">
        <v>0</v>
      </c>
      <c r="G4" s="5">
        <v>750</v>
      </c>
      <c r="H4" s="4">
        <v>250</v>
      </c>
      <c r="I4" s="4">
        <v>250</v>
      </c>
      <c r="J4" s="5">
        <f t="shared" ref="J4:J22" si="0">SUM(G4-H4-I4-E4)</f>
        <v>250</v>
      </c>
      <c r="K4" s="3" t="s">
        <v>12</v>
      </c>
      <c r="L4" s="3" t="s">
        <v>16</v>
      </c>
    </row>
    <row r="5" spans="1:12" x14ac:dyDescent="0.25">
      <c r="A5" s="16">
        <v>46025</v>
      </c>
      <c r="B5" s="3" t="s">
        <v>32</v>
      </c>
      <c r="C5" s="3" t="s">
        <v>31</v>
      </c>
      <c r="D5" s="3">
        <v>1</v>
      </c>
      <c r="E5" s="4">
        <v>736.55</v>
      </c>
      <c r="F5" s="4">
        <v>0</v>
      </c>
      <c r="G5" s="5">
        <v>800</v>
      </c>
      <c r="H5" s="4"/>
      <c r="I5" s="4">
        <v>0</v>
      </c>
      <c r="J5" s="5">
        <f t="shared" si="0"/>
        <v>63.450000000000045</v>
      </c>
      <c r="K5" s="3" t="s">
        <v>12</v>
      </c>
      <c r="L5" s="3" t="s">
        <v>16</v>
      </c>
    </row>
    <row r="6" spans="1:12" x14ac:dyDescent="0.25">
      <c r="A6" s="16">
        <v>46026</v>
      </c>
      <c r="B6" s="3" t="s">
        <v>36</v>
      </c>
      <c r="C6" s="3" t="s">
        <v>30</v>
      </c>
      <c r="D6" s="3">
        <v>1</v>
      </c>
      <c r="E6" s="4">
        <v>0</v>
      </c>
      <c r="F6" s="4">
        <v>0</v>
      </c>
      <c r="G6" s="5">
        <v>1000</v>
      </c>
      <c r="H6" s="4">
        <v>250</v>
      </c>
      <c r="I6" s="4">
        <v>250</v>
      </c>
      <c r="J6" s="5">
        <f t="shared" si="0"/>
        <v>500</v>
      </c>
      <c r="K6" s="3" t="s">
        <v>12</v>
      </c>
      <c r="L6" s="3" t="s">
        <v>16</v>
      </c>
    </row>
    <row r="7" spans="1:12" x14ac:dyDescent="0.25">
      <c r="A7" s="16">
        <v>46029</v>
      </c>
      <c r="B7" s="3" t="s">
        <v>14</v>
      </c>
      <c r="C7" s="3" t="s">
        <v>30</v>
      </c>
      <c r="D7" s="3">
        <v>1</v>
      </c>
      <c r="E7" s="4">
        <v>0</v>
      </c>
      <c r="F7" s="4">
        <v>0</v>
      </c>
      <c r="G7" s="5">
        <v>900</v>
      </c>
      <c r="H7" s="4">
        <v>250</v>
      </c>
      <c r="I7" s="4">
        <v>250</v>
      </c>
      <c r="J7" s="5">
        <f t="shared" si="0"/>
        <v>400</v>
      </c>
      <c r="K7" s="3" t="s">
        <v>12</v>
      </c>
      <c r="L7" s="3" t="s">
        <v>13</v>
      </c>
    </row>
    <row r="8" spans="1:12" x14ac:dyDescent="0.25">
      <c r="A8" s="16">
        <v>46029</v>
      </c>
      <c r="B8" s="3" t="s">
        <v>35</v>
      </c>
      <c r="C8" s="3" t="s">
        <v>33</v>
      </c>
      <c r="D8" s="3">
        <v>1</v>
      </c>
      <c r="E8" s="4">
        <v>4208.46</v>
      </c>
      <c r="F8" s="4">
        <v>0</v>
      </c>
      <c r="G8" s="5">
        <v>10000</v>
      </c>
      <c r="H8" s="4">
        <v>0</v>
      </c>
      <c r="I8" s="4">
        <v>1000</v>
      </c>
      <c r="J8" s="5">
        <f t="shared" si="0"/>
        <v>4791.54</v>
      </c>
      <c r="K8" s="3" t="s">
        <v>12</v>
      </c>
      <c r="L8" s="3" t="s">
        <v>16</v>
      </c>
    </row>
    <row r="9" spans="1:12" x14ac:dyDescent="0.25">
      <c r="A9" s="16">
        <v>46029</v>
      </c>
      <c r="B9" s="3" t="s">
        <v>34</v>
      </c>
      <c r="C9" s="3" t="s">
        <v>28</v>
      </c>
      <c r="D9" s="3">
        <v>1</v>
      </c>
      <c r="E9" s="4">
        <v>13265.73</v>
      </c>
      <c r="F9" s="4">
        <v>0</v>
      </c>
      <c r="G9" s="5">
        <v>21500</v>
      </c>
      <c r="H9" s="4">
        <v>250</v>
      </c>
      <c r="I9" s="4">
        <v>2000</v>
      </c>
      <c r="J9" s="5">
        <f t="shared" si="0"/>
        <v>5984.27</v>
      </c>
      <c r="K9" s="3" t="s">
        <v>12</v>
      </c>
      <c r="L9" s="3" t="s">
        <v>16</v>
      </c>
    </row>
    <row r="10" spans="1:12" x14ac:dyDescent="0.25">
      <c r="A10" s="16">
        <v>46032</v>
      </c>
      <c r="B10" s="3" t="s">
        <v>37</v>
      </c>
      <c r="C10" s="3" t="s">
        <v>30</v>
      </c>
      <c r="D10" s="3">
        <v>1</v>
      </c>
      <c r="E10" s="4">
        <v>0</v>
      </c>
      <c r="F10" s="4">
        <v>0</v>
      </c>
      <c r="G10" s="5">
        <v>1000</v>
      </c>
      <c r="H10" s="4">
        <v>250</v>
      </c>
      <c r="I10" s="4">
        <v>250</v>
      </c>
      <c r="J10" s="5">
        <f t="shared" si="0"/>
        <v>500</v>
      </c>
      <c r="K10" s="3" t="s">
        <v>12</v>
      </c>
      <c r="L10" s="3" t="s">
        <v>16</v>
      </c>
    </row>
    <row r="11" spans="1:12" x14ac:dyDescent="0.25">
      <c r="A11" s="16">
        <v>46039</v>
      </c>
      <c r="B11" s="3" t="s">
        <v>38</v>
      </c>
      <c r="C11" s="3" t="s">
        <v>31</v>
      </c>
      <c r="D11" s="3">
        <v>1</v>
      </c>
      <c r="E11" s="4">
        <v>736.55</v>
      </c>
      <c r="F11" s="4">
        <v>0</v>
      </c>
      <c r="G11" s="5">
        <v>1100</v>
      </c>
      <c r="H11" s="4">
        <v>0</v>
      </c>
      <c r="I11" s="4">
        <v>200</v>
      </c>
      <c r="J11" s="5">
        <f t="shared" si="0"/>
        <v>163.45000000000005</v>
      </c>
      <c r="K11" s="3" t="s">
        <v>12</v>
      </c>
      <c r="L11" s="3" t="s">
        <v>16</v>
      </c>
    </row>
    <row r="12" spans="1:12" x14ac:dyDescent="0.25">
      <c r="A12" s="16">
        <v>46041</v>
      </c>
      <c r="B12" s="3" t="s">
        <v>29</v>
      </c>
      <c r="C12" s="3" t="s">
        <v>26</v>
      </c>
      <c r="D12" s="3">
        <v>2</v>
      </c>
      <c r="E12" s="4">
        <v>119.54</v>
      </c>
      <c r="F12" s="4">
        <v>0</v>
      </c>
      <c r="G12" s="5">
        <v>640</v>
      </c>
      <c r="H12" s="4">
        <f>SUM(D12*E12)</f>
        <v>239.08</v>
      </c>
      <c r="I12" s="4">
        <v>0</v>
      </c>
      <c r="J12" s="5">
        <f t="shared" ref="J12:J14" si="1">SUM(G12-H12)</f>
        <v>400.91999999999996</v>
      </c>
      <c r="K12" s="3" t="s">
        <v>12</v>
      </c>
      <c r="L12" s="3" t="s">
        <v>16</v>
      </c>
    </row>
    <row r="13" spans="1:12" x14ac:dyDescent="0.25">
      <c r="A13" s="16">
        <v>46041</v>
      </c>
      <c r="B13" s="3" t="s">
        <v>40</v>
      </c>
      <c r="C13" s="3" t="s">
        <v>39</v>
      </c>
      <c r="D13" s="3">
        <v>5</v>
      </c>
      <c r="E13" s="4">
        <v>903.45</v>
      </c>
      <c r="F13" s="4">
        <v>1400</v>
      </c>
      <c r="G13" s="5">
        <v>7000</v>
      </c>
      <c r="H13" s="4">
        <f t="shared" ref="H13:H14" si="2">SUM(D13*E13)</f>
        <v>4517.25</v>
      </c>
      <c r="I13" s="4">
        <v>0</v>
      </c>
      <c r="J13" s="5">
        <f t="shared" si="1"/>
        <v>2482.75</v>
      </c>
      <c r="K13" s="3" t="s">
        <v>12</v>
      </c>
      <c r="L13" s="3" t="s">
        <v>16</v>
      </c>
    </row>
    <row r="14" spans="1:12" x14ac:dyDescent="0.25">
      <c r="A14" s="16">
        <v>46041</v>
      </c>
      <c r="B14" s="3" t="s">
        <v>40</v>
      </c>
      <c r="C14" s="3" t="s">
        <v>41</v>
      </c>
      <c r="D14" s="3">
        <v>5</v>
      </c>
      <c r="E14" s="4">
        <v>540.28</v>
      </c>
      <c r="F14" s="4">
        <v>950</v>
      </c>
      <c r="G14" s="5">
        <v>4750</v>
      </c>
      <c r="H14" s="4">
        <f t="shared" si="2"/>
        <v>2701.3999999999996</v>
      </c>
      <c r="I14" s="4">
        <v>0</v>
      </c>
      <c r="J14" s="5">
        <f t="shared" si="1"/>
        <v>2048.6000000000004</v>
      </c>
      <c r="K14" s="3" t="s">
        <v>12</v>
      </c>
      <c r="L14" s="3" t="s">
        <v>16</v>
      </c>
    </row>
    <row r="15" spans="1:12" x14ac:dyDescent="0.25">
      <c r="A15" s="16">
        <v>46043</v>
      </c>
      <c r="B15" s="3" t="s">
        <v>18</v>
      </c>
      <c r="C15" s="3" t="s">
        <v>42</v>
      </c>
      <c r="D15" s="3">
        <v>1</v>
      </c>
      <c r="E15" s="4">
        <v>547.1</v>
      </c>
      <c r="F15" s="4">
        <v>0</v>
      </c>
      <c r="G15" s="5">
        <v>1300</v>
      </c>
      <c r="H15" s="4">
        <v>0</v>
      </c>
      <c r="I15" s="4">
        <v>200</v>
      </c>
      <c r="J15" s="5">
        <f t="shared" si="0"/>
        <v>552.9</v>
      </c>
      <c r="K15" s="3" t="s">
        <v>12</v>
      </c>
      <c r="L15" s="3" t="s">
        <v>16</v>
      </c>
    </row>
    <row r="16" spans="1:12" x14ac:dyDescent="0.25">
      <c r="A16" s="16">
        <v>46044</v>
      </c>
      <c r="B16" s="3" t="s">
        <v>15</v>
      </c>
      <c r="C16" s="3" t="s">
        <v>30</v>
      </c>
      <c r="D16" s="3">
        <v>1</v>
      </c>
      <c r="E16" s="4">
        <v>0</v>
      </c>
      <c r="F16" s="4">
        <v>0</v>
      </c>
      <c r="G16" s="5">
        <v>1000</v>
      </c>
      <c r="H16" s="4">
        <v>250</v>
      </c>
      <c r="I16" s="4">
        <v>250</v>
      </c>
      <c r="J16" s="5">
        <f t="shared" si="0"/>
        <v>500</v>
      </c>
      <c r="K16" s="3" t="s">
        <v>12</v>
      </c>
      <c r="L16" s="3" t="s">
        <v>16</v>
      </c>
    </row>
    <row r="17" spans="1:12" x14ac:dyDescent="0.25">
      <c r="A17" s="16">
        <v>46049</v>
      </c>
      <c r="B17" s="3" t="s">
        <v>29</v>
      </c>
      <c r="C17" s="3" t="s">
        <v>41</v>
      </c>
      <c r="D17" s="3">
        <v>5</v>
      </c>
      <c r="E17" s="4">
        <v>540.28</v>
      </c>
      <c r="F17" s="4">
        <v>950</v>
      </c>
      <c r="G17" s="5">
        <v>4750</v>
      </c>
      <c r="H17" s="4">
        <f>SUM(D17*E17)</f>
        <v>2701.3999999999996</v>
      </c>
      <c r="I17" s="4">
        <v>0</v>
      </c>
      <c r="J17" s="5">
        <f>SUM(G17-H17)</f>
        <v>2048.6000000000004</v>
      </c>
      <c r="K17" s="3" t="s">
        <v>12</v>
      </c>
      <c r="L17" s="3" t="s">
        <v>16</v>
      </c>
    </row>
    <row r="18" spans="1:12" x14ac:dyDescent="0.25">
      <c r="A18" s="16">
        <v>46049</v>
      </c>
      <c r="B18" s="3" t="s">
        <v>43</v>
      </c>
      <c r="C18" s="3" t="s">
        <v>30</v>
      </c>
      <c r="D18" s="3">
        <v>1</v>
      </c>
      <c r="E18" s="4">
        <v>0</v>
      </c>
      <c r="F18" s="4">
        <v>0</v>
      </c>
      <c r="G18" s="5">
        <v>1000</v>
      </c>
      <c r="H18" s="4">
        <v>250</v>
      </c>
      <c r="I18" s="4">
        <v>250</v>
      </c>
      <c r="J18" s="5">
        <f t="shared" si="0"/>
        <v>500</v>
      </c>
      <c r="K18" s="3" t="s">
        <v>12</v>
      </c>
      <c r="L18" s="3" t="s">
        <v>16</v>
      </c>
    </row>
    <row r="19" spans="1:12" x14ac:dyDescent="0.25">
      <c r="A19" s="16">
        <v>46049</v>
      </c>
      <c r="B19" s="3" t="s">
        <v>44</v>
      </c>
      <c r="C19" s="3" t="s">
        <v>30</v>
      </c>
      <c r="D19" s="3">
        <v>1</v>
      </c>
      <c r="E19" s="4">
        <v>0</v>
      </c>
      <c r="F19" s="4">
        <v>0</v>
      </c>
      <c r="G19" s="5">
        <v>1000</v>
      </c>
      <c r="H19" s="4">
        <v>250</v>
      </c>
      <c r="I19" s="4">
        <v>250</v>
      </c>
      <c r="J19" s="5">
        <f t="shared" si="0"/>
        <v>500</v>
      </c>
      <c r="K19" s="3" t="s">
        <v>12</v>
      </c>
      <c r="L19" s="3" t="s">
        <v>13</v>
      </c>
    </row>
    <row r="20" spans="1:12" x14ac:dyDescent="0.25">
      <c r="A20" s="16">
        <v>46050</v>
      </c>
      <c r="B20" s="3" t="s">
        <v>45</v>
      </c>
      <c r="C20" s="3" t="s">
        <v>30</v>
      </c>
      <c r="D20" s="3">
        <v>1</v>
      </c>
      <c r="E20" s="4">
        <v>0</v>
      </c>
      <c r="F20" s="4">
        <v>0</v>
      </c>
      <c r="G20" s="5">
        <v>1000</v>
      </c>
      <c r="H20" s="4">
        <v>250</v>
      </c>
      <c r="I20" s="4">
        <v>250</v>
      </c>
      <c r="J20" s="5">
        <f t="shared" si="0"/>
        <v>500</v>
      </c>
      <c r="K20" s="3" t="s">
        <v>12</v>
      </c>
      <c r="L20" s="3" t="s">
        <v>16</v>
      </c>
    </row>
    <row r="21" spans="1:12" x14ac:dyDescent="0.25">
      <c r="A21" s="16">
        <v>46053</v>
      </c>
      <c r="B21" s="3" t="s">
        <v>17</v>
      </c>
      <c r="C21" s="3" t="s">
        <v>28</v>
      </c>
      <c r="D21" s="3">
        <v>1</v>
      </c>
      <c r="E21" s="4">
        <v>13265.73</v>
      </c>
      <c r="F21" s="4">
        <v>0</v>
      </c>
      <c r="G21" s="5">
        <v>21000</v>
      </c>
      <c r="H21" s="4">
        <v>250</v>
      </c>
      <c r="I21" s="4">
        <v>2000</v>
      </c>
      <c r="J21" s="5">
        <f t="shared" si="0"/>
        <v>5484.27</v>
      </c>
      <c r="K21" s="3" t="s">
        <v>12</v>
      </c>
      <c r="L21" s="3" t="s">
        <v>13</v>
      </c>
    </row>
    <row r="22" spans="1:12" x14ac:dyDescent="0.25">
      <c r="A22" s="16">
        <v>46053</v>
      </c>
      <c r="B22" s="3" t="s">
        <v>46</v>
      </c>
      <c r="C22" s="3" t="s">
        <v>30</v>
      </c>
      <c r="D22" s="3">
        <v>1</v>
      </c>
      <c r="E22" s="4">
        <v>0</v>
      </c>
      <c r="F22" s="4">
        <v>0</v>
      </c>
      <c r="G22" s="5">
        <v>1000</v>
      </c>
      <c r="H22" s="4">
        <v>250</v>
      </c>
      <c r="I22" s="4">
        <v>250</v>
      </c>
      <c r="J22" s="5">
        <f t="shared" si="0"/>
        <v>500</v>
      </c>
      <c r="K22" s="3" t="s">
        <v>12</v>
      </c>
      <c r="L22" s="3" t="s">
        <v>16</v>
      </c>
    </row>
    <row r="23" spans="1:12" x14ac:dyDescent="0.25">
      <c r="E23" s="7"/>
      <c r="F23" s="7"/>
      <c r="G23" s="8"/>
      <c r="H23" s="7"/>
      <c r="I23" s="7"/>
      <c r="J23" s="7"/>
    </row>
    <row r="24" spans="1:12" x14ac:dyDescent="0.25">
      <c r="C24" s="185" t="s">
        <v>19</v>
      </c>
      <c r="D24" s="186"/>
      <c r="E24" s="186"/>
      <c r="F24" s="187"/>
      <c r="G24" s="9">
        <f>SUM(G2:G22)</f>
        <v>103310</v>
      </c>
      <c r="H24" s="9">
        <f>SUM(H2:H22)</f>
        <v>13278.67</v>
      </c>
      <c r="I24" s="9">
        <f>SUM(I2:I22)</f>
        <v>9650</v>
      </c>
      <c r="J24" s="9">
        <f>SUM(J2:J22)</f>
        <v>34355.479999999996</v>
      </c>
    </row>
    <row r="25" spans="1:12" x14ac:dyDescent="0.25">
      <c r="D25" s="10"/>
      <c r="E25" s="10"/>
      <c r="F25" s="10"/>
      <c r="G25" s="188" t="s">
        <v>20</v>
      </c>
      <c r="H25" s="188"/>
      <c r="I25" s="188"/>
      <c r="J25" s="11">
        <v>5700</v>
      </c>
    </row>
    <row r="26" spans="1:12" x14ac:dyDescent="0.25">
      <c r="D26" s="12"/>
      <c r="E26" s="12"/>
      <c r="F26" s="12"/>
      <c r="G26" s="188" t="s">
        <v>21</v>
      </c>
      <c r="H26" s="188"/>
      <c r="I26" s="188"/>
      <c r="J26" s="11">
        <v>5000</v>
      </c>
    </row>
    <row r="27" spans="1:12" x14ac:dyDescent="0.25">
      <c r="D27" s="12"/>
      <c r="E27" s="12"/>
      <c r="F27" s="12"/>
      <c r="G27" s="192" t="s">
        <v>315</v>
      </c>
      <c r="H27" s="193"/>
      <c r="I27" s="194"/>
      <c r="J27" s="11">
        <v>120</v>
      </c>
    </row>
    <row r="28" spans="1:12" x14ac:dyDescent="0.25">
      <c r="D28" s="12"/>
      <c r="E28" s="12"/>
      <c r="F28" s="12"/>
      <c r="G28" s="188" t="s">
        <v>22</v>
      </c>
      <c r="H28" s="188"/>
      <c r="I28" s="188"/>
      <c r="J28" s="11">
        <v>471.38</v>
      </c>
    </row>
    <row r="29" spans="1:12" x14ac:dyDescent="0.25">
      <c r="D29" s="12"/>
      <c r="E29" s="12"/>
      <c r="F29" s="12"/>
      <c r="G29" s="188" t="s">
        <v>23</v>
      </c>
      <c r="H29" s="188"/>
      <c r="I29" s="188"/>
      <c r="J29" s="11">
        <v>70</v>
      </c>
    </row>
    <row r="30" spans="1:12" x14ac:dyDescent="0.25">
      <c r="D30" s="189" t="s">
        <v>24</v>
      </c>
      <c r="E30" s="190"/>
      <c r="F30" s="190"/>
      <c r="G30" s="190"/>
      <c r="H30" s="190"/>
      <c r="I30" s="191"/>
      <c r="J30" s="13">
        <f>SUM(J25:J29)</f>
        <v>11361.38</v>
      </c>
    </row>
    <row r="31" spans="1:12" x14ac:dyDescent="0.25">
      <c r="D31" s="182" t="s">
        <v>25</v>
      </c>
      <c r="E31" s="183"/>
      <c r="F31" s="183"/>
      <c r="G31" s="183"/>
      <c r="H31" s="183"/>
      <c r="I31" s="184"/>
      <c r="J31" s="14">
        <f>SUM(J24-J30)</f>
        <v>22994.1</v>
      </c>
      <c r="K31" s="7">
        <v>22230.21</v>
      </c>
    </row>
    <row r="32" spans="1:12" ht="15.75" thickBot="1" x14ac:dyDescent="0.3"/>
    <row r="33" spans="3:9" ht="15.75" thickBot="1" x14ac:dyDescent="0.3">
      <c r="D33" s="36" t="s">
        <v>101</v>
      </c>
      <c r="E33" s="37" t="s">
        <v>105</v>
      </c>
      <c r="F33" s="37" t="s">
        <v>102</v>
      </c>
      <c r="G33" s="37" t="s">
        <v>104</v>
      </c>
      <c r="H33" s="37" t="s">
        <v>103</v>
      </c>
      <c r="I33" s="38" t="s">
        <v>98</v>
      </c>
    </row>
    <row r="34" spans="3:9" x14ac:dyDescent="0.25">
      <c r="D34" s="39" t="s">
        <v>100</v>
      </c>
      <c r="E34" s="41" t="s">
        <v>109</v>
      </c>
      <c r="F34" s="41">
        <v>75</v>
      </c>
      <c r="G34" s="41" t="s">
        <v>124</v>
      </c>
      <c r="H34" s="41" t="s">
        <v>118</v>
      </c>
      <c r="I34" s="45">
        <v>-3</v>
      </c>
    </row>
    <row r="35" spans="3:9" x14ac:dyDescent="0.25">
      <c r="D35" s="31" t="s">
        <v>106</v>
      </c>
      <c r="E35" s="3" t="s">
        <v>110</v>
      </c>
      <c r="F35" s="3">
        <v>24</v>
      </c>
      <c r="G35" s="3" t="s">
        <v>117</v>
      </c>
      <c r="H35" s="4" t="s">
        <v>125</v>
      </c>
      <c r="I35" s="44">
        <v>-1</v>
      </c>
    </row>
    <row r="36" spans="3:9" x14ac:dyDescent="0.25">
      <c r="D36" s="31" t="s">
        <v>106</v>
      </c>
      <c r="E36" s="3" t="s">
        <v>111</v>
      </c>
      <c r="F36" s="3">
        <v>5</v>
      </c>
      <c r="G36" s="3" t="s">
        <v>120</v>
      </c>
      <c r="H36" s="3">
        <v>0</v>
      </c>
      <c r="I36" s="44">
        <v>0</v>
      </c>
    </row>
    <row r="37" spans="3:9" x14ac:dyDescent="0.25">
      <c r="D37" s="31" t="s">
        <v>100</v>
      </c>
      <c r="E37" s="3" t="s">
        <v>112</v>
      </c>
      <c r="F37" s="3">
        <v>3</v>
      </c>
      <c r="G37" s="3" t="s">
        <v>120</v>
      </c>
      <c r="H37" s="3">
        <v>0</v>
      </c>
      <c r="I37" s="44">
        <v>0</v>
      </c>
    </row>
    <row r="38" spans="3:9" x14ac:dyDescent="0.25">
      <c r="C38" s="18"/>
      <c r="D38" s="31" t="s">
        <v>66</v>
      </c>
      <c r="E38" s="3" t="s">
        <v>112</v>
      </c>
      <c r="F38" s="3">
        <v>10</v>
      </c>
      <c r="G38" s="3" t="s">
        <v>120</v>
      </c>
      <c r="H38" s="3">
        <v>0</v>
      </c>
      <c r="I38" s="44">
        <v>0</v>
      </c>
    </row>
    <row r="39" spans="3:9" x14ac:dyDescent="0.25">
      <c r="C39" s="18"/>
      <c r="D39" s="31" t="s">
        <v>99</v>
      </c>
      <c r="E39" s="3" t="s">
        <v>113</v>
      </c>
      <c r="F39" s="3">
        <v>150</v>
      </c>
      <c r="G39" s="3" t="s">
        <v>119</v>
      </c>
      <c r="H39" s="3" t="s">
        <v>126</v>
      </c>
      <c r="I39" s="44">
        <v>-9</v>
      </c>
    </row>
    <row r="40" spans="3:9" x14ac:dyDescent="0.25">
      <c r="C40" s="18"/>
      <c r="D40" s="31" t="s">
        <v>99</v>
      </c>
      <c r="E40" s="3" t="s">
        <v>114</v>
      </c>
      <c r="F40" s="3">
        <v>100</v>
      </c>
      <c r="G40" s="3" t="s">
        <v>121</v>
      </c>
      <c r="H40" s="3" t="s">
        <v>122</v>
      </c>
      <c r="I40" s="44">
        <v>2</v>
      </c>
    </row>
    <row r="41" spans="3:9" x14ac:dyDescent="0.25">
      <c r="C41" s="18"/>
      <c r="D41" s="31" t="s">
        <v>99</v>
      </c>
      <c r="E41" s="3" t="s">
        <v>115</v>
      </c>
      <c r="F41" s="3">
        <v>100</v>
      </c>
      <c r="G41" s="3" t="s">
        <v>121</v>
      </c>
      <c r="H41" s="3">
        <v>0</v>
      </c>
      <c r="I41" s="44">
        <v>0</v>
      </c>
    </row>
    <row r="42" spans="3:9" x14ac:dyDescent="0.25">
      <c r="C42" s="18"/>
      <c r="D42" s="31" t="s">
        <v>99</v>
      </c>
      <c r="E42" s="3" t="s">
        <v>116</v>
      </c>
      <c r="F42" s="3">
        <v>100</v>
      </c>
      <c r="G42" s="3" t="s">
        <v>121</v>
      </c>
      <c r="H42" s="3" t="s">
        <v>127</v>
      </c>
      <c r="I42" s="44">
        <v>-3</v>
      </c>
    </row>
    <row r="43" spans="3:9" x14ac:dyDescent="0.25">
      <c r="C43" s="18"/>
      <c r="D43" s="31" t="s">
        <v>107</v>
      </c>
      <c r="E43" s="3"/>
      <c r="F43" s="3">
        <v>18</v>
      </c>
      <c r="G43" s="3" t="s">
        <v>123</v>
      </c>
      <c r="H43" s="3" t="s">
        <v>118</v>
      </c>
      <c r="I43" s="44">
        <v>1</v>
      </c>
    </row>
    <row r="44" spans="3:9" ht="15.75" thickBot="1" x14ac:dyDescent="0.3">
      <c r="C44" s="18"/>
      <c r="D44" s="40" t="s">
        <v>108</v>
      </c>
      <c r="E44" s="42" t="s">
        <v>110</v>
      </c>
      <c r="F44" s="42">
        <v>25</v>
      </c>
      <c r="G44" s="42" t="s">
        <v>123</v>
      </c>
      <c r="H44" s="42">
        <v>0</v>
      </c>
      <c r="I44" s="43">
        <v>0</v>
      </c>
    </row>
    <row r="45" spans="3:9" x14ac:dyDescent="0.25">
      <c r="C45" s="18"/>
    </row>
    <row r="46" spans="3:9" x14ac:dyDescent="0.25">
      <c r="C46" s="18"/>
    </row>
  </sheetData>
  <autoFilter ref="A1:L22" xr:uid="{8428BB06-A4AD-4DB6-AF5F-4F54AF99B5F8}"/>
  <mergeCells count="8">
    <mergeCell ref="D31:I31"/>
    <mergeCell ref="C24:F24"/>
    <mergeCell ref="G25:I25"/>
    <mergeCell ref="G26:I26"/>
    <mergeCell ref="G28:I28"/>
    <mergeCell ref="G29:I29"/>
    <mergeCell ref="D30:I30"/>
    <mergeCell ref="G27:I27"/>
  </mergeCells>
  <phoneticPr fontId="11" type="noConversion"/>
  <conditionalFormatting sqref="K2:K22">
    <cfRule type="containsText" dxfId="25" priority="7" operator="containsText" text="Overdue">
      <formula>NOT(ISERROR(SEARCH("Overdue",K2)))</formula>
    </cfRule>
    <cfRule type="containsText" dxfId="24" priority="8" operator="containsText" text="Pending">
      <formula>NOT(ISERROR(SEARCH("Pending",K2)))</formula>
    </cfRule>
  </conditionalFormatting>
  <conditionalFormatting sqref="K2:L22">
    <cfRule type="containsText" dxfId="23" priority="6" operator="containsText" text="Paid">
      <formula>NOT(ISERROR(SEARCH("Paid",K2)))</formula>
    </cfRule>
  </conditionalFormatting>
  <conditionalFormatting sqref="L2:L22">
    <cfRule type="containsText" dxfId="22" priority="10" operator="containsText" text="Unpaid">
      <formula>NOT(ISERROR(SEARCH("Unpaid",L2)))</formula>
    </cfRule>
  </conditionalFormatting>
  <dataValidations count="2">
    <dataValidation type="list" allowBlank="1" showInputMessage="1" showErrorMessage="1" promptTitle="Payment Status" prompt="Choose from the list" sqref="L2:L22" xr:uid="{B6B62359-AA62-4089-9F80-FE64C573DAD6}">
      <formula1>"Unpaid,Partial,Paid"</formula1>
    </dataValidation>
    <dataValidation type="list" allowBlank="1" showInputMessage="1" showErrorMessage="1" promptTitle="Invoice Status" prompt="Choose from the list" sqref="K2:K22" xr:uid="{8D695545-82EA-45FC-B88C-0BCC6C21E4E9}">
      <formula1>"Pending,Sent,Paid,Overdue"</formula1>
    </dataValidation>
  </dataValidations>
  <pageMargins left="0.25" right="0.25" top="0.75" bottom="0.75" header="0.3" footer="0.3"/>
  <pageSetup paperSize="9" scale="6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15D2-5B40-41F9-B7BE-6A98A5818ED3}">
  <sheetPr>
    <pageSetUpPr fitToPage="1"/>
  </sheetPr>
  <dimension ref="A1:L54"/>
  <sheetViews>
    <sheetView workbookViewId="0">
      <selection activeCell="G8" sqref="G8"/>
    </sheetView>
  </sheetViews>
  <sheetFormatPr defaultRowHeight="15" x14ac:dyDescent="0.25"/>
  <cols>
    <col min="2" max="2" width="24.28515625" customWidth="1"/>
    <col min="3" max="3" width="30.85546875" customWidth="1"/>
    <col min="4" max="4" width="15.28515625" customWidth="1"/>
    <col min="5" max="5" width="16" customWidth="1"/>
    <col min="6" max="6" width="14.85546875" customWidth="1"/>
    <col min="7" max="7" width="19.28515625" customWidth="1"/>
    <col min="8" max="8" width="21" customWidth="1"/>
    <col min="9" max="9" width="19.7109375" customWidth="1"/>
    <col min="10" max="10" width="19" customWidth="1"/>
    <col min="11" max="11" width="16.7109375" customWidth="1"/>
    <col min="12" max="12" width="15.140625" customWidth="1"/>
  </cols>
  <sheetData>
    <row r="1" spans="1:12" x14ac:dyDescent="0.25">
      <c r="A1" s="15" t="s">
        <v>0</v>
      </c>
      <c r="B1" s="1" t="s">
        <v>9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316</v>
      </c>
      <c r="H1" s="2" t="s">
        <v>6</v>
      </c>
      <c r="I1" s="2" t="s">
        <v>7</v>
      </c>
      <c r="J1" s="2" t="s">
        <v>8</v>
      </c>
      <c r="K1" s="1" t="s">
        <v>10</v>
      </c>
      <c r="L1" s="1" t="s">
        <v>11</v>
      </c>
    </row>
    <row r="2" spans="1:12" x14ac:dyDescent="0.25">
      <c r="A2" s="16">
        <v>46054</v>
      </c>
      <c r="B2" s="3" t="s">
        <v>55</v>
      </c>
      <c r="C2" s="3" t="s">
        <v>26</v>
      </c>
      <c r="D2" s="3">
        <v>8</v>
      </c>
      <c r="E2" s="20">
        <v>106.71</v>
      </c>
      <c r="F2" s="4">
        <v>325</v>
      </c>
      <c r="G2" s="21">
        <f>SUM(D2*F2)</f>
        <v>2600</v>
      </c>
      <c r="H2" s="4">
        <f>SUM(D2*E2)</f>
        <v>853.68</v>
      </c>
      <c r="I2" s="4">
        <v>0</v>
      </c>
      <c r="J2" s="5">
        <f>SUM(G2-E2*D2)</f>
        <v>1746.3200000000002</v>
      </c>
      <c r="K2" s="3" t="s">
        <v>12</v>
      </c>
      <c r="L2" s="6" t="s">
        <v>16</v>
      </c>
    </row>
    <row r="3" spans="1:12" x14ac:dyDescent="0.25">
      <c r="A3" s="16">
        <v>46054</v>
      </c>
      <c r="B3" s="3" t="s">
        <v>47</v>
      </c>
      <c r="C3" s="3" t="s">
        <v>28</v>
      </c>
      <c r="D3" s="3">
        <v>1</v>
      </c>
      <c r="E3" s="20">
        <v>13265.73</v>
      </c>
      <c r="F3" s="4">
        <v>0</v>
      </c>
      <c r="G3" s="21">
        <v>21500</v>
      </c>
      <c r="H3" s="4">
        <v>250</v>
      </c>
      <c r="I3" s="4">
        <v>2000</v>
      </c>
      <c r="J3" s="5">
        <f>SUM(G3-H3-I3-E3)</f>
        <v>5984.27</v>
      </c>
      <c r="K3" s="3" t="s">
        <v>12</v>
      </c>
      <c r="L3" s="6" t="s">
        <v>16</v>
      </c>
    </row>
    <row r="4" spans="1:12" x14ac:dyDescent="0.25">
      <c r="A4" s="16">
        <v>46055</v>
      </c>
      <c r="B4" s="3" t="s">
        <v>48</v>
      </c>
      <c r="C4" s="3" t="s">
        <v>28</v>
      </c>
      <c r="D4" s="3">
        <v>1</v>
      </c>
      <c r="E4" s="20">
        <v>13265.73</v>
      </c>
      <c r="F4" s="4">
        <v>0</v>
      </c>
      <c r="G4" s="21">
        <v>22000</v>
      </c>
      <c r="H4" s="4">
        <v>250</v>
      </c>
      <c r="I4" s="4">
        <v>2000</v>
      </c>
      <c r="J4" s="5">
        <f>SUM(G4-H4-I4-E4)</f>
        <v>6484.27</v>
      </c>
      <c r="K4" s="3" t="s">
        <v>12</v>
      </c>
      <c r="L4" s="6" t="s">
        <v>16</v>
      </c>
    </row>
    <row r="5" spans="1:12" x14ac:dyDescent="0.25">
      <c r="A5" s="16">
        <v>46056</v>
      </c>
      <c r="B5" s="3" t="s">
        <v>49</v>
      </c>
      <c r="C5" s="3" t="s">
        <v>28</v>
      </c>
      <c r="D5" s="3">
        <v>1</v>
      </c>
      <c r="E5" s="20">
        <v>13265.73</v>
      </c>
      <c r="F5" s="4">
        <v>0</v>
      </c>
      <c r="G5" s="21">
        <v>21000</v>
      </c>
      <c r="H5" s="4">
        <v>250</v>
      </c>
      <c r="I5" s="4">
        <v>2000</v>
      </c>
      <c r="J5" s="5">
        <f t="shared" ref="J5:J11" si="0">SUM(G5-H5-I5-E5)</f>
        <v>5484.27</v>
      </c>
      <c r="K5" s="3" t="s">
        <v>12</v>
      </c>
      <c r="L5" s="3" t="s">
        <v>13</v>
      </c>
    </row>
    <row r="6" spans="1:12" x14ac:dyDescent="0.25">
      <c r="A6" s="16">
        <v>46057</v>
      </c>
      <c r="B6" s="3" t="s">
        <v>50</v>
      </c>
      <c r="C6" s="3" t="s">
        <v>30</v>
      </c>
      <c r="D6" s="3">
        <v>1</v>
      </c>
      <c r="E6" s="20">
        <v>0</v>
      </c>
      <c r="F6" s="4">
        <v>0</v>
      </c>
      <c r="G6" s="21">
        <v>1000</v>
      </c>
      <c r="H6" s="4">
        <v>250</v>
      </c>
      <c r="I6" s="4">
        <v>250</v>
      </c>
      <c r="J6" s="5">
        <f t="shared" si="0"/>
        <v>500</v>
      </c>
      <c r="K6" s="3" t="s">
        <v>12</v>
      </c>
      <c r="L6" s="3" t="s">
        <v>16</v>
      </c>
    </row>
    <row r="7" spans="1:12" x14ac:dyDescent="0.25">
      <c r="A7" s="16">
        <v>46057</v>
      </c>
      <c r="B7" s="3" t="s">
        <v>18</v>
      </c>
      <c r="C7" s="3" t="s">
        <v>31</v>
      </c>
      <c r="D7" s="3">
        <v>1</v>
      </c>
      <c r="E7" s="20">
        <v>736.55</v>
      </c>
      <c r="F7" s="4">
        <v>0</v>
      </c>
      <c r="G7" s="21">
        <v>1300</v>
      </c>
      <c r="H7" s="20">
        <v>736.55</v>
      </c>
      <c r="I7" s="4">
        <v>0</v>
      </c>
      <c r="J7" s="5">
        <f>SUM(G7-H7)</f>
        <v>563.45000000000005</v>
      </c>
      <c r="K7" s="3" t="s">
        <v>12</v>
      </c>
      <c r="L7" s="3" t="s">
        <v>16</v>
      </c>
    </row>
    <row r="8" spans="1:12" x14ac:dyDescent="0.25">
      <c r="A8" s="16">
        <v>46057</v>
      </c>
      <c r="B8" s="3" t="s">
        <v>51</v>
      </c>
      <c r="C8" s="3" t="s">
        <v>30</v>
      </c>
      <c r="D8" s="3">
        <v>1</v>
      </c>
      <c r="E8" s="20">
        <v>0</v>
      </c>
      <c r="F8" s="4">
        <v>0</v>
      </c>
      <c r="G8" s="21">
        <v>1000</v>
      </c>
      <c r="H8" s="4">
        <v>250</v>
      </c>
      <c r="I8" s="4">
        <v>250</v>
      </c>
      <c r="J8" s="5">
        <f t="shared" si="0"/>
        <v>500</v>
      </c>
      <c r="K8" s="3" t="s">
        <v>12</v>
      </c>
      <c r="L8" s="3" t="s">
        <v>16</v>
      </c>
    </row>
    <row r="9" spans="1:12" x14ac:dyDescent="0.25">
      <c r="A9" s="16">
        <v>46058</v>
      </c>
      <c r="B9" s="3" t="s">
        <v>14</v>
      </c>
      <c r="C9" s="3" t="s">
        <v>52</v>
      </c>
      <c r="D9" s="3">
        <v>20</v>
      </c>
      <c r="E9" s="20">
        <v>13.62</v>
      </c>
      <c r="F9" s="4">
        <v>21</v>
      </c>
      <c r="G9" s="21">
        <v>420</v>
      </c>
      <c r="H9" s="4">
        <f>SUM(D9*E9)</f>
        <v>272.39999999999998</v>
      </c>
      <c r="I9" s="4">
        <v>50</v>
      </c>
      <c r="J9" s="5">
        <f>SUM(G9-E9*20-I9)</f>
        <v>97.600000000000023</v>
      </c>
      <c r="K9" s="3" t="s">
        <v>12</v>
      </c>
      <c r="L9" s="3" t="s">
        <v>13</v>
      </c>
    </row>
    <row r="10" spans="1:12" x14ac:dyDescent="0.25">
      <c r="A10" s="16">
        <v>46058</v>
      </c>
      <c r="B10" s="3" t="s">
        <v>53</v>
      </c>
      <c r="C10" s="3" t="s">
        <v>30</v>
      </c>
      <c r="D10" s="3">
        <v>1</v>
      </c>
      <c r="E10" s="20">
        <v>0</v>
      </c>
      <c r="F10" s="4">
        <v>0</v>
      </c>
      <c r="G10" s="21">
        <v>1000</v>
      </c>
      <c r="H10" s="4">
        <v>250</v>
      </c>
      <c r="I10" s="4">
        <v>250</v>
      </c>
      <c r="J10" s="5">
        <f t="shared" si="0"/>
        <v>500</v>
      </c>
      <c r="K10" s="3" t="s">
        <v>12</v>
      </c>
      <c r="L10" s="3" t="s">
        <v>16</v>
      </c>
    </row>
    <row r="11" spans="1:12" x14ac:dyDescent="0.25">
      <c r="A11" s="16">
        <v>46058</v>
      </c>
      <c r="B11" s="3" t="s">
        <v>54</v>
      </c>
      <c r="C11" s="3" t="s">
        <v>30</v>
      </c>
      <c r="D11" s="3">
        <v>1</v>
      </c>
      <c r="E11" s="20">
        <v>0</v>
      </c>
      <c r="F11" s="4">
        <v>0</v>
      </c>
      <c r="G11" s="21">
        <v>1000</v>
      </c>
      <c r="H11" s="4">
        <v>250</v>
      </c>
      <c r="I11" s="4">
        <v>250</v>
      </c>
      <c r="J11" s="5">
        <f t="shared" si="0"/>
        <v>500</v>
      </c>
      <c r="K11" s="3" t="s">
        <v>12</v>
      </c>
      <c r="L11" s="3" t="s">
        <v>16</v>
      </c>
    </row>
    <row r="12" spans="1:12" x14ac:dyDescent="0.25">
      <c r="A12" s="16">
        <v>46061</v>
      </c>
      <c r="B12" s="3" t="s">
        <v>45</v>
      </c>
      <c r="C12" s="3" t="s">
        <v>52</v>
      </c>
      <c r="D12" s="3" t="s">
        <v>56</v>
      </c>
      <c r="E12" s="20">
        <v>13.62</v>
      </c>
      <c r="F12" s="4">
        <v>21</v>
      </c>
      <c r="G12" s="21">
        <v>105</v>
      </c>
      <c r="H12" s="4">
        <f>SUM(5*E12)</f>
        <v>68.099999999999994</v>
      </c>
      <c r="I12" s="4">
        <v>25</v>
      </c>
      <c r="J12" s="5">
        <f>SUM(G12-H12-I12)</f>
        <v>11.900000000000006</v>
      </c>
      <c r="K12" s="3" t="s">
        <v>12</v>
      </c>
      <c r="L12" s="3" t="s">
        <v>16</v>
      </c>
    </row>
    <row r="13" spans="1:12" x14ac:dyDescent="0.25">
      <c r="A13" s="16">
        <v>46061</v>
      </c>
      <c r="B13" s="3" t="s">
        <v>57</v>
      </c>
      <c r="C13" s="3" t="s">
        <v>26</v>
      </c>
      <c r="D13" s="3">
        <v>2</v>
      </c>
      <c r="E13" s="20">
        <v>106.71</v>
      </c>
      <c r="F13" s="4">
        <v>325</v>
      </c>
      <c r="G13" s="21">
        <v>650</v>
      </c>
      <c r="H13" s="4">
        <f>SUM(D13*E13)</f>
        <v>213.42</v>
      </c>
      <c r="I13" s="4">
        <v>0</v>
      </c>
      <c r="J13" s="5">
        <f>SUM(G13-H13)</f>
        <v>436.58000000000004</v>
      </c>
      <c r="K13" s="3" t="s">
        <v>12</v>
      </c>
      <c r="L13" s="3" t="s">
        <v>16</v>
      </c>
    </row>
    <row r="14" spans="1:12" x14ac:dyDescent="0.25">
      <c r="A14" s="16">
        <v>46062</v>
      </c>
      <c r="B14" s="3" t="s">
        <v>58</v>
      </c>
      <c r="C14" s="3" t="s">
        <v>59</v>
      </c>
      <c r="D14" s="3">
        <v>2</v>
      </c>
      <c r="E14" s="20">
        <v>0</v>
      </c>
      <c r="F14" s="4">
        <v>850</v>
      </c>
      <c r="G14" s="21">
        <v>1700</v>
      </c>
      <c r="H14" s="4">
        <v>600</v>
      </c>
      <c r="I14" s="4">
        <v>250</v>
      </c>
      <c r="J14" s="5">
        <v>250</v>
      </c>
      <c r="K14" s="3" t="s">
        <v>12</v>
      </c>
      <c r="L14" s="3" t="s">
        <v>16</v>
      </c>
    </row>
    <row r="15" spans="1:12" x14ac:dyDescent="0.25">
      <c r="A15" s="16">
        <v>46065</v>
      </c>
      <c r="B15" s="3" t="s">
        <v>27</v>
      </c>
      <c r="C15" s="3" t="s">
        <v>30</v>
      </c>
      <c r="D15" s="3">
        <v>2</v>
      </c>
      <c r="E15" s="20">
        <v>0</v>
      </c>
      <c r="F15" s="4">
        <v>0</v>
      </c>
      <c r="G15" s="21">
        <v>2000</v>
      </c>
      <c r="H15" s="4">
        <v>500</v>
      </c>
      <c r="I15" s="4">
        <v>500</v>
      </c>
      <c r="J15" s="5">
        <f>SUM(G15-H15-I15)</f>
        <v>1000</v>
      </c>
      <c r="K15" s="3" t="s">
        <v>12</v>
      </c>
      <c r="L15" s="3" t="s">
        <v>13</v>
      </c>
    </row>
    <row r="16" spans="1:12" x14ac:dyDescent="0.25">
      <c r="A16" s="16">
        <v>46067</v>
      </c>
      <c r="B16" s="3" t="s">
        <v>63</v>
      </c>
      <c r="C16" s="3" t="s">
        <v>64</v>
      </c>
      <c r="D16" s="3">
        <v>1</v>
      </c>
      <c r="E16" s="20">
        <v>393.76</v>
      </c>
      <c r="F16" s="4">
        <v>0</v>
      </c>
      <c r="G16" s="21">
        <v>2200</v>
      </c>
      <c r="H16" s="4">
        <v>393.76</v>
      </c>
      <c r="I16" s="4">
        <v>350</v>
      </c>
      <c r="J16" s="5">
        <f>SUM(G16-E16-I16)</f>
        <v>1456.24</v>
      </c>
      <c r="K16" s="3" t="s">
        <v>12</v>
      </c>
      <c r="L16" s="3" t="s">
        <v>16</v>
      </c>
    </row>
    <row r="17" spans="1:12" x14ac:dyDescent="0.25">
      <c r="A17" s="16">
        <v>46067</v>
      </c>
      <c r="B17" s="3" t="s">
        <v>18</v>
      </c>
      <c r="C17" s="3" t="s">
        <v>30</v>
      </c>
      <c r="D17" s="3">
        <v>1</v>
      </c>
      <c r="E17" s="20">
        <v>0</v>
      </c>
      <c r="F17" s="4">
        <v>0</v>
      </c>
      <c r="G17" s="21">
        <v>750</v>
      </c>
      <c r="H17" s="4">
        <v>250</v>
      </c>
      <c r="I17" s="4">
        <v>250</v>
      </c>
      <c r="J17" s="5">
        <v>250</v>
      </c>
      <c r="K17" s="3" t="s">
        <v>12</v>
      </c>
      <c r="L17" s="3" t="s">
        <v>16</v>
      </c>
    </row>
    <row r="18" spans="1:12" x14ac:dyDescent="0.25">
      <c r="A18" s="16">
        <v>46068</v>
      </c>
      <c r="B18" s="3" t="s">
        <v>60</v>
      </c>
      <c r="C18" s="3" t="s">
        <v>28</v>
      </c>
      <c r="D18" s="3">
        <v>2</v>
      </c>
      <c r="E18" s="20">
        <v>25815.360000000001</v>
      </c>
      <c r="F18" s="4">
        <v>22500</v>
      </c>
      <c r="G18" s="21">
        <v>45000</v>
      </c>
      <c r="H18" s="4">
        <v>2500</v>
      </c>
      <c r="I18" s="4">
        <v>4000</v>
      </c>
      <c r="J18" s="5">
        <f>SUM(G18-E18-H18-I18)</f>
        <v>12684.64</v>
      </c>
      <c r="K18" s="22" t="s">
        <v>12</v>
      </c>
      <c r="L18" s="3" t="s">
        <v>16</v>
      </c>
    </row>
    <row r="19" spans="1:12" x14ac:dyDescent="0.25">
      <c r="A19" s="16">
        <v>46069</v>
      </c>
      <c r="B19" s="3" t="s">
        <v>61</v>
      </c>
      <c r="C19" s="3" t="s">
        <v>62</v>
      </c>
      <c r="D19" s="3">
        <v>25</v>
      </c>
      <c r="E19" s="20">
        <v>756.74</v>
      </c>
      <c r="F19" s="4">
        <v>1150</v>
      </c>
      <c r="G19" s="21">
        <v>28750</v>
      </c>
      <c r="H19" s="4">
        <f>SUM(D19*E19)</f>
        <v>18918.5</v>
      </c>
      <c r="I19" s="4">
        <v>0</v>
      </c>
      <c r="J19" s="5">
        <f>SUM(G19-H19)</f>
        <v>9831.5</v>
      </c>
      <c r="K19" s="22" t="s">
        <v>12</v>
      </c>
      <c r="L19" s="3" t="s">
        <v>13</v>
      </c>
    </row>
    <row r="20" spans="1:12" x14ac:dyDescent="0.25">
      <c r="A20" s="16">
        <v>46069</v>
      </c>
      <c r="B20" s="3" t="s">
        <v>65</v>
      </c>
      <c r="C20" s="3" t="s">
        <v>66</v>
      </c>
      <c r="D20" s="3">
        <v>1</v>
      </c>
      <c r="E20" s="20">
        <v>3203.27</v>
      </c>
      <c r="F20" s="4">
        <v>0</v>
      </c>
      <c r="G20" s="21">
        <v>5000</v>
      </c>
      <c r="H20" s="4">
        <v>140</v>
      </c>
      <c r="I20" s="4">
        <v>200</v>
      </c>
      <c r="J20" s="5">
        <f>SUM(G20-E20-H20-I20)</f>
        <v>1456.73</v>
      </c>
      <c r="K20" s="22" t="s">
        <v>12</v>
      </c>
      <c r="L20" s="3" t="s">
        <v>13</v>
      </c>
    </row>
    <row r="21" spans="1:12" x14ac:dyDescent="0.25">
      <c r="A21" s="16">
        <v>46069</v>
      </c>
      <c r="B21" s="3" t="s">
        <v>67</v>
      </c>
      <c r="C21" s="3" t="s">
        <v>68</v>
      </c>
      <c r="D21" s="3">
        <v>1</v>
      </c>
      <c r="E21" s="20">
        <v>0</v>
      </c>
      <c r="F21" s="4">
        <v>0</v>
      </c>
      <c r="G21" s="21">
        <v>600</v>
      </c>
      <c r="H21" s="4">
        <v>0</v>
      </c>
      <c r="I21" s="4">
        <v>25</v>
      </c>
      <c r="J21" s="5">
        <f>SUM(G21-E21-H21-I21)</f>
        <v>575</v>
      </c>
      <c r="K21" s="22" t="s">
        <v>12</v>
      </c>
      <c r="L21" s="3" t="s">
        <v>13</v>
      </c>
    </row>
    <row r="22" spans="1:12" x14ac:dyDescent="0.25">
      <c r="A22" s="16">
        <v>46070</v>
      </c>
      <c r="B22" s="3" t="s">
        <v>49</v>
      </c>
      <c r="C22" s="3" t="s">
        <v>28</v>
      </c>
      <c r="D22" s="3">
        <v>1</v>
      </c>
      <c r="E22" s="20">
        <v>13265.73</v>
      </c>
      <c r="F22" s="4"/>
      <c r="G22" s="21">
        <v>21000</v>
      </c>
      <c r="H22" s="4">
        <v>250</v>
      </c>
      <c r="I22" s="4">
        <v>2000</v>
      </c>
      <c r="J22" s="5">
        <f>SUM(G22-E22-H22-I22)</f>
        <v>5484.27</v>
      </c>
      <c r="K22" s="22" t="s">
        <v>12</v>
      </c>
      <c r="L22" s="3" t="s">
        <v>13</v>
      </c>
    </row>
    <row r="23" spans="1:12" x14ac:dyDescent="0.25">
      <c r="A23" s="16">
        <v>46070</v>
      </c>
      <c r="B23" s="3" t="s">
        <v>14</v>
      </c>
      <c r="C23" s="3" t="s">
        <v>68</v>
      </c>
      <c r="D23" s="3">
        <v>1</v>
      </c>
      <c r="E23" s="20">
        <v>0</v>
      </c>
      <c r="F23" s="4">
        <v>0</v>
      </c>
      <c r="G23" s="21">
        <v>600</v>
      </c>
      <c r="H23" s="4">
        <v>0</v>
      </c>
      <c r="I23" s="4">
        <v>25</v>
      </c>
      <c r="J23" s="5">
        <f>SUM(G23-E23-H23-I23)</f>
        <v>575</v>
      </c>
      <c r="K23" s="22" t="s">
        <v>12</v>
      </c>
      <c r="L23" s="3" t="s">
        <v>13</v>
      </c>
    </row>
    <row r="24" spans="1:12" x14ac:dyDescent="0.25">
      <c r="A24" s="16">
        <v>49</v>
      </c>
      <c r="B24" s="3" t="s">
        <v>27</v>
      </c>
      <c r="C24" s="3" t="s">
        <v>30</v>
      </c>
      <c r="D24" s="3">
        <v>1</v>
      </c>
      <c r="E24" s="20">
        <v>0</v>
      </c>
      <c r="F24" s="4">
        <v>0</v>
      </c>
      <c r="G24" s="21">
        <v>1000</v>
      </c>
      <c r="H24" s="4">
        <v>250</v>
      </c>
      <c r="I24" s="4">
        <v>250</v>
      </c>
      <c r="J24" s="5">
        <f>SUM(G24-E24-H24-I24)</f>
        <v>500</v>
      </c>
      <c r="K24" s="3" t="s">
        <v>12</v>
      </c>
      <c r="L24" s="3" t="s">
        <v>13</v>
      </c>
    </row>
    <row r="25" spans="1:12" x14ac:dyDescent="0.25">
      <c r="A25" s="16">
        <v>46071</v>
      </c>
      <c r="B25" s="3" t="s">
        <v>69</v>
      </c>
      <c r="C25" s="3" t="s">
        <v>30</v>
      </c>
      <c r="D25" s="3">
        <v>1</v>
      </c>
      <c r="E25" s="20">
        <v>0</v>
      </c>
      <c r="F25" s="4">
        <v>0</v>
      </c>
      <c r="G25" s="21">
        <v>1000</v>
      </c>
      <c r="H25" s="4">
        <v>250</v>
      </c>
      <c r="I25" s="4">
        <v>250</v>
      </c>
      <c r="J25" s="5">
        <f t="shared" ref="J25:J26" si="1">SUM(G25-E25-H25-I25)</f>
        <v>500</v>
      </c>
      <c r="K25" s="3" t="s">
        <v>12</v>
      </c>
      <c r="L25" s="3" t="s">
        <v>16</v>
      </c>
    </row>
    <row r="26" spans="1:12" x14ac:dyDescent="0.25">
      <c r="A26" s="16">
        <v>46071</v>
      </c>
      <c r="B26" s="3" t="s">
        <v>70</v>
      </c>
      <c r="C26" s="3" t="s">
        <v>71</v>
      </c>
      <c r="D26" s="3">
        <v>1</v>
      </c>
      <c r="E26" s="20">
        <v>1980</v>
      </c>
      <c r="F26" s="4">
        <v>0</v>
      </c>
      <c r="G26" s="21">
        <v>2675</v>
      </c>
      <c r="H26" s="4">
        <v>0</v>
      </c>
      <c r="I26" s="4">
        <v>50</v>
      </c>
      <c r="J26" s="5">
        <f t="shared" si="1"/>
        <v>645</v>
      </c>
      <c r="K26" s="3" t="s">
        <v>12</v>
      </c>
      <c r="L26" s="3" t="s">
        <v>13</v>
      </c>
    </row>
    <row r="27" spans="1:12" x14ac:dyDescent="0.25">
      <c r="A27" s="16"/>
      <c r="B27" s="3"/>
      <c r="C27" s="3"/>
      <c r="D27" s="3"/>
      <c r="E27" s="4"/>
      <c r="F27" s="4"/>
      <c r="G27" s="5"/>
      <c r="H27" s="4"/>
      <c r="I27" s="4"/>
      <c r="J27" s="5"/>
      <c r="K27" s="3"/>
      <c r="L27" s="3"/>
    </row>
    <row r="28" spans="1:12" x14ac:dyDescent="0.25">
      <c r="A28" s="16"/>
      <c r="B28" s="3"/>
      <c r="C28" s="3"/>
      <c r="D28" s="3"/>
      <c r="E28" s="4"/>
      <c r="F28" s="4"/>
      <c r="G28" s="5"/>
      <c r="H28" s="4"/>
      <c r="I28" s="4"/>
      <c r="J28" s="5"/>
      <c r="K28" s="3"/>
      <c r="L28" s="3"/>
    </row>
    <row r="29" spans="1:12" x14ac:dyDescent="0.25">
      <c r="A29" s="17"/>
      <c r="E29" s="7"/>
      <c r="F29" s="7"/>
      <c r="G29" s="8"/>
      <c r="H29" s="7"/>
      <c r="I29" s="7"/>
      <c r="J29" s="7"/>
    </row>
    <row r="30" spans="1:12" x14ac:dyDescent="0.25">
      <c r="A30" s="17"/>
      <c r="C30" s="185" t="s">
        <v>19</v>
      </c>
      <c r="D30" s="186"/>
      <c r="E30" s="186"/>
      <c r="F30" s="187"/>
      <c r="G30" s="9">
        <f>SUM(G2:G28)</f>
        <v>185850</v>
      </c>
      <c r="H30" s="9">
        <f>SUM(H3:H25)</f>
        <v>27092.73</v>
      </c>
      <c r="I30" s="9">
        <f>SUM(I2:I28)</f>
        <v>15225</v>
      </c>
      <c r="J30" s="9">
        <f>SUM(J2:J28)</f>
        <v>58017.040000000008</v>
      </c>
    </row>
    <row r="31" spans="1:12" x14ac:dyDescent="0.25">
      <c r="A31" s="17"/>
      <c r="D31" s="10"/>
      <c r="E31" s="10"/>
      <c r="F31" s="10"/>
      <c r="G31" s="188" t="s">
        <v>20</v>
      </c>
      <c r="H31" s="188"/>
      <c r="I31" s="188"/>
      <c r="J31" s="11">
        <v>5700</v>
      </c>
    </row>
    <row r="32" spans="1:12" x14ac:dyDescent="0.25">
      <c r="A32" s="17"/>
      <c r="D32" s="12"/>
      <c r="E32" s="12"/>
      <c r="F32" s="12"/>
      <c r="G32" s="192" t="s">
        <v>78</v>
      </c>
      <c r="H32" s="193"/>
      <c r="I32" s="194"/>
      <c r="J32" s="11">
        <v>1220</v>
      </c>
    </row>
    <row r="33" spans="1:11" x14ac:dyDescent="0.25">
      <c r="A33" s="17"/>
      <c r="D33" s="12"/>
      <c r="E33" s="12"/>
      <c r="F33" s="12"/>
      <c r="G33" s="192" t="s">
        <v>79</v>
      </c>
      <c r="H33" s="193"/>
      <c r="I33" s="194"/>
      <c r="J33" s="11">
        <v>500</v>
      </c>
    </row>
    <row r="34" spans="1:11" x14ac:dyDescent="0.25">
      <c r="A34" s="17"/>
      <c r="D34" s="12"/>
      <c r="E34" s="12"/>
      <c r="F34" s="12"/>
      <c r="G34" s="188" t="s">
        <v>21</v>
      </c>
      <c r="H34" s="188"/>
      <c r="I34" s="188"/>
      <c r="J34" s="11">
        <v>16125</v>
      </c>
    </row>
    <row r="35" spans="1:11" x14ac:dyDescent="0.25">
      <c r="A35" s="17"/>
      <c r="D35" s="12"/>
      <c r="E35" s="12"/>
      <c r="F35" s="12"/>
      <c r="G35" s="192" t="s">
        <v>77</v>
      </c>
      <c r="H35" s="193"/>
      <c r="I35" s="194"/>
      <c r="J35" s="11">
        <v>913.75</v>
      </c>
    </row>
    <row r="36" spans="1:11" x14ac:dyDescent="0.25">
      <c r="A36" s="17"/>
      <c r="D36" s="12"/>
      <c r="E36" s="12"/>
      <c r="F36" s="12"/>
      <c r="G36" s="188" t="s">
        <v>76</v>
      </c>
      <c r="H36" s="188"/>
      <c r="I36" s="188"/>
      <c r="J36" s="11">
        <v>905</v>
      </c>
    </row>
    <row r="37" spans="1:11" x14ac:dyDescent="0.25">
      <c r="A37" s="17"/>
      <c r="D37" s="12"/>
      <c r="E37" s="12"/>
      <c r="F37" s="12"/>
      <c r="G37" s="188" t="s">
        <v>23</v>
      </c>
      <c r="H37" s="188"/>
      <c r="I37" s="188"/>
      <c r="J37" s="11">
        <v>70</v>
      </c>
    </row>
    <row r="38" spans="1:11" x14ac:dyDescent="0.25">
      <c r="A38" s="17"/>
      <c r="D38" s="189" t="s">
        <v>24</v>
      </c>
      <c r="E38" s="190"/>
      <c r="F38" s="190"/>
      <c r="G38" s="190"/>
      <c r="H38" s="190"/>
      <c r="I38" s="191"/>
      <c r="J38" s="13">
        <f>SUM(J31:J37)</f>
        <v>25433.75</v>
      </c>
    </row>
    <row r="39" spans="1:11" x14ac:dyDescent="0.25">
      <c r="A39" s="17"/>
      <c r="D39" s="182" t="s">
        <v>25</v>
      </c>
      <c r="E39" s="183"/>
      <c r="F39" s="183"/>
      <c r="G39" s="183"/>
      <c r="H39" s="183"/>
      <c r="I39" s="184"/>
      <c r="J39" s="14">
        <f>SUM(J30-J38)</f>
        <v>32583.290000000008</v>
      </c>
      <c r="K39" s="7">
        <v>35736.5</v>
      </c>
    </row>
    <row r="40" spans="1:11" ht="15.75" thickBot="1" x14ac:dyDescent="0.3">
      <c r="A40" s="17"/>
      <c r="J40" s="7"/>
    </row>
    <row r="41" spans="1:11" ht="15.75" thickBot="1" x14ac:dyDescent="0.3">
      <c r="D41" s="36" t="s">
        <v>101</v>
      </c>
      <c r="E41" s="37" t="s">
        <v>105</v>
      </c>
      <c r="F41" s="37" t="s">
        <v>102</v>
      </c>
      <c r="G41" s="37" t="s">
        <v>104</v>
      </c>
      <c r="H41" s="37" t="s">
        <v>103</v>
      </c>
      <c r="I41" s="37" t="s">
        <v>128</v>
      </c>
      <c r="J41" s="38" t="s">
        <v>98</v>
      </c>
    </row>
    <row r="42" spans="1:11" x14ac:dyDescent="0.25">
      <c r="D42" s="39" t="s">
        <v>100</v>
      </c>
      <c r="E42" s="41" t="s">
        <v>109</v>
      </c>
      <c r="F42" s="41">
        <v>75</v>
      </c>
      <c r="G42" s="41" t="s">
        <v>124</v>
      </c>
      <c r="H42" s="41" t="s">
        <v>118</v>
      </c>
      <c r="I42" s="41" t="s">
        <v>124</v>
      </c>
      <c r="J42" s="45" t="s">
        <v>130</v>
      </c>
    </row>
    <row r="43" spans="1:11" x14ac:dyDescent="0.25">
      <c r="D43" s="31" t="s">
        <v>106</v>
      </c>
      <c r="E43" s="3" t="s">
        <v>110</v>
      </c>
      <c r="F43" s="3">
        <v>24</v>
      </c>
      <c r="G43" s="3" t="s">
        <v>117</v>
      </c>
      <c r="H43" s="4" t="s">
        <v>125</v>
      </c>
      <c r="I43" s="3">
        <v>0</v>
      </c>
      <c r="J43" s="44">
        <v>0</v>
      </c>
    </row>
    <row r="44" spans="1:11" x14ac:dyDescent="0.25">
      <c r="D44" s="31" t="s">
        <v>106</v>
      </c>
      <c r="E44" s="3" t="s">
        <v>111</v>
      </c>
      <c r="F44" s="3">
        <v>5</v>
      </c>
      <c r="G44" s="3" t="s">
        <v>120</v>
      </c>
      <c r="H44" s="3">
        <v>0</v>
      </c>
      <c r="I44" s="3">
        <v>0</v>
      </c>
      <c r="J44" s="44">
        <v>0</v>
      </c>
    </row>
    <row r="45" spans="1:11" x14ac:dyDescent="0.25">
      <c r="D45" s="31" t="s">
        <v>100</v>
      </c>
      <c r="E45" s="3" t="s">
        <v>112</v>
      </c>
      <c r="F45" s="3">
        <v>3</v>
      </c>
      <c r="G45" s="3" t="s">
        <v>120</v>
      </c>
      <c r="H45" s="3">
        <v>0</v>
      </c>
      <c r="I45" s="3">
        <v>0</v>
      </c>
      <c r="J45" s="44">
        <v>0</v>
      </c>
    </row>
    <row r="46" spans="1:11" x14ac:dyDescent="0.25">
      <c r="D46" s="31" t="s">
        <v>66</v>
      </c>
      <c r="E46" s="3" t="s">
        <v>112</v>
      </c>
      <c r="F46" s="3">
        <v>10</v>
      </c>
      <c r="G46" s="3" t="s">
        <v>120</v>
      </c>
      <c r="H46" s="3">
        <v>0</v>
      </c>
      <c r="I46" s="3" t="s">
        <v>125</v>
      </c>
      <c r="J46" s="45" t="s">
        <v>130</v>
      </c>
    </row>
    <row r="47" spans="1:11" x14ac:dyDescent="0.25">
      <c r="D47" s="31" t="s">
        <v>99</v>
      </c>
      <c r="E47" s="3" t="s">
        <v>113</v>
      </c>
      <c r="F47" s="3">
        <v>150</v>
      </c>
      <c r="G47" s="3" t="s">
        <v>119</v>
      </c>
      <c r="H47" s="3" t="s">
        <v>126</v>
      </c>
      <c r="I47" s="3" t="s">
        <v>122</v>
      </c>
      <c r="J47" s="44">
        <v>-2</v>
      </c>
    </row>
    <row r="48" spans="1:11" x14ac:dyDescent="0.25">
      <c r="D48" s="31" t="s">
        <v>99</v>
      </c>
      <c r="E48" s="3" t="s">
        <v>114</v>
      </c>
      <c r="F48" s="3">
        <v>100</v>
      </c>
      <c r="G48" s="3" t="s">
        <v>121</v>
      </c>
      <c r="H48" s="3" t="s">
        <v>122</v>
      </c>
      <c r="I48" s="3">
        <v>0</v>
      </c>
      <c r="J48" s="44">
        <v>0</v>
      </c>
    </row>
    <row r="49" spans="4:10" x14ac:dyDescent="0.25">
      <c r="D49" s="31" t="s">
        <v>99</v>
      </c>
      <c r="E49" s="3" t="s">
        <v>115</v>
      </c>
      <c r="F49" s="3">
        <v>100</v>
      </c>
      <c r="G49" s="3" t="s">
        <v>121</v>
      </c>
      <c r="H49" s="3">
        <v>0</v>
      </c>
      <c r="I49" s="3" t="s">
        <v>129</v>
      </c>
      <c r="J49" s="44">
        <v>17</v>
      </c>
    </row>
    <row r="50" spans="4:10" x14ac:dyDescent="0.25">
      <c r="D50" s="31" t="s">
        <v>99</v>
      </c>
      <c r="E50" s="3" t="s">
        <v>116</v>
      </c>
      <c r="F50" s="3">
        <v>100</v>
      </c>
      <c r="G50" s="3" t="s">
        <v>121</v>
      </c>
      <c r="H50" s="3" t="s">
        <v>127</v>
      </c>
      <c r="I50" s="3">
        <v>0</v>
      </c>
      <c r="J50" s="44">
        <v>0</v>
      </c>
    </row>
    <row r="51" spans="4:10" x14ac:dyDescent="0.25">
      <c r="D51" s="31" t="s">
        <v>107</v>
      </c>
      <c r="E51" s="3"/>
      <c r="F51" s="3">
        <v>18</v>
      </c>
      <c r="G51" s="3" t="s">
        <v>123</v>
      </c>
      <c r="H51" s="3" t="s">
        <v>118</v>
      </c>
      <c r="I51" s="3" t="s">
        <v>125</v>
      </c>
      <c r="J51" s="44">
        <v>-1</v>
      </c>
    </row>
    <row r="52" spans="4:10" ht="15.75" thickBot="1" x14ac:dyDescent="0.3">
      <c r="D52" s="40" t="s">
        <v>108</v>
      </c>
      <c r="E52" s="42" t="s">
        <v>110</v>
      </c>
      <c r="F52" s="42">
        <v>25</v>
      </c>
      <c r="G52" s="42" t="s">
        <v>123</v>
      </c>
      <c r="H52" s="42">
        <v>0</v>
      </c>
      <c r="I52" s="42">
        <v>0</v>
      </c>
      <c r="J52" s="43">
        <v>0</v>
      </c>
    </row>
    <row r="53" spans="4:10" x14ac:dyDescent="0.25">
      <c r="E53" s="32"/>
      <c r="F53" s="32"/>
      <c r="G53" s="33"/>
      <c r="H53" s="33"/>
      <c r="I53" s="34"/>
    </row>
    <row r="54" spans="4:10" x14ac:dyDescent="0.25">
      <c r="I54" s="35"/>
    </row>
  </sheetData>
  <autoFilter ref="A1:L26" xr:uid="{E23215D2-5B40-41F9-B7BE-6A98A5818ED3}"/>
  <mergeCells count="10">
    <mergeCell ref="D39:I39"/>
    <mergeCell ref="C30:F30"/>
    <mergeCell ref="G31:I31"/>
    <mergeCell ref="G34:I34"/>
    <mergeCell ref="G36:I36"/>
    <mergeCell ref="G37:I37"/>
    <mergeCell ref="D38:I38"/>
    <mergeCell ref="G35:I35"/>
    <mergeCell ref="G32:I32"/>
    <mergeCell ref="G33:I33"/>
  </mergeCells>
  <conditionalFormatting sqref="K2:K28">
    <cfRule type="containsText" dxfId="21" priority="7" operator="containsText" text="Overdue">
      <formula>NOT(ISERROR(SEARCH("Overdue",K2)))</formula>
    </cfRule>
    <cfRule type="containsText" dxfId="20" priority="8" operator="containsText" text="Pending">
      <formula>NOT(ISERROR(SEARCH("Pending",K2)))</formula>
    </cfRule>
  </conditionalFormatting>
  <conditionalFormatting sqref="K2:L28">
    <cfRule type="containsText" dxfId="19" priority="6" operator="containsText" text="Paid">
      <formula>NOT(ISERROR(SEARCH("Paid",K2)))</formula>
    </cfRule>
  </conditionalFormatting>
  <conditionalFormatting sqref="L2:L28">
    <cfRule type="containsText" dxfId="18" priority="10" operator="containsText" text="Unpaid">
      <formula>NOT(ISERROR(SEARCH("Unpaid",L2)))</formula>
    </cfRule>
  </conditionalFormatting>
  <dataValidations count="2">
    <dataValidation type="list" allowBlank="1" showInputMessage="1" showErrorMessage="1" promptTitle="Invoice Status" prompt="Choose from the list" sqref="K2:K28" xr:uid="{77D58D54-80C4-4A9C-8D45-2CCCE666098E}">
      <formula1>"Pending,Sent,Paid,Overdue"</formula1>
    </dataValidation>
    <dataValidation type="list" allowBlank="1" showInputMessage="1" showErrorMessage="1" promptTitle="Payment Status" prompt="Choose from the list" sqref="L2:L28" xr:uid="{8BF590D8-FA4B-47D3-80DB-21A1BF6172F0}">
      <formula1>"Unpaid,Partial,Paid"</formula1>
    </dataValidation>
  </dataValidations>
  <pageMargins left="0.7" right="0.7" top="0.75" bottom="0.75" header="0.3" footer="0.3"/>
  <pageSetup paperSize="9" scale="5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B31B-3E97-4465-A9FA-17765C049F94}">
  <sheetPr filterMode="1">
    <pageSetUpPr fitToPage="1"/>
  </sheetPr>
  <dimension ref="A1:L56"/>
  <sheetViews>
    <sheetView workbookViewId="0">
      <pane ySplit="1" topLeftCell="A2" activePane="bottomLeft" state="frozen"/>
      <selection pane="bottomLeft" activeCell="M41" sqref="M41"/>
    </sheetView>
  </sheetViews>
  <sheetFormatPr defaultRowHeight="15" x14ac:dyDescent="0.25"/>
  <cols>
    <col min="2" max="2" width="23.7109375" customWidth="1"/>
    <col min="3" max="3" width="29.85546875" customWidth="1"/>
    <col min="4" max="4" width="16" customWidth="1"/>
    <col min="5" max="5" width="17.5703125" customWidth="1"/>
    <col min="6" max="6" width="18.140625" customWidth="1"/>
    <col min="7" max="7" width="16.85546875" customWidth="1"/>
    <col min="8" max="8" width="18" customWidth="1"/>
    <col min="9" max="9" width="19.140625" customWidth="1"/>
    <col min="10" max="10" width="17.5703125" customWidth="1"/>
    <col min="11" max="11" width="16.140625" customWidth="1"/>
    <col min="12" max="12" width="16.7109375" customWidth="1"/>
  </cols>
  <sheetData>
    <row r="1" spans="1:12" x14ac:dyDescent="0.25">
      <c r="A1" s="15" t="s">
        <v>0</v>
      </c>
      <c r="B1" s="1" t="s">
        <v>9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10</v>
      </c>
      <c r="L1" s="1" t="s">
        <v>11</v>
      </c>
    </row>
    <row r="2" spans="1:12" hidden="1" x14ac:dyDescent="0.25">
      <c r="A2" s="16">
        <v>46082</v>
      </c>
      <c r="B2" s="3" t="s">
        <v>72</v>
      </c>
      <c r="C2" s="3" t="s">
        <v>73</v>
      </c>
      <c r="D2" s="3">
        <v>2</v>
      </c>
      <c r="E2" s="4">
        <v>0</v>
      </c>
      <c r="F2" s="4">
        <v>160</v>
      </c>
      <c r="G2" s="5">
        <f>SUM(D2*F2)</f>
        <v>320</v>
      </c>
      <c r="H2" s="4">
        <v>220</v>
      </c>
      <c r="I2" s="4">
        <v>0</v>
      </c>
      <c r="J2" s="5">
        <f>SUM(G2-I2-H2-E2)</f>
        <v>100</v>
      </c>
      <c r="K2" s="3" t="s">
        <v>12</v>
      </c>
      <c r="L2" s="6" t="s">
        <v>16</v>
      </c>
    </row>
    <row r="3" spans="1:12" hidden="1" x14ac:dyDescent="0.25">
      <c r="A3" s="16">
        <v>46083</v>
      </c>
      <c r="B3" s="3" t="s">
        <v>51</v>
      </c>
      <c r="C3" s="3" t="s">
        <v>30</v>
      </c>
      <c r="D3" s="3">
        <v>1</v>
      </c>
      <c r="E3" s="4">
        <v>0</v>
      </c>
      <c r="F3" s="4">
        <v>0</v>
      </c>
      <c r="G3" s="5">
        <v>1000</v>
      </c>
      <c r="H3" s="4">
        <v>250</v>
      </c>
      <c r="I3" s="4">
        <v>250</v>
      </c>
      <c r="J3" s="5">
        <f t="shared" ref="J3:J27" si="0">SUM(G3-I3-H3-E3)</f>
        <v>500</v>
      </c>
      <c r="K3" s="3" t="s">
        <v>12</v>
      </c>
      <c r="L3" s="6" t="s">
        <v>16</v>
      </c>
    </row>
    <row r="4" spans="1:12" hidden="1" x14ac:dyDescent="0.25">
      <c r="A4" s="16">
        <v>46084</v>
      </c>
      <c r="B4" s="3" t="s">
        <v>74</v>
      </c>
      <c r="C4" s="3" t="s">
        <v>30</v>
      </c>
      <c r="D4" s="3">
        <v>1</v>
      </c>
      <c r="E4" s="4">
        <v>0</v>
      </c>
      <c r="F4" s="4">
        <v>0</v>
      </c>
      <c r="G4" s="5">
        <v>900</v>
      </c>
      <c r="H4" s="4">
        <v>250</v>
      </c>
      <c r="I4" s="4">
        <v>250</v>
      </c>
      <c r="J4" s="5">
        <f t="shared" si="0"/>
        <v>400</v>
      </c>
      <c r="K4" s="3" t="s">
        <v>12</v>
      </c>
      <c r="L4" s="6" t="s">
        <v>13</v>
      </c>
    </row>
    <row r="5" spans="1:12" hidden="1" x14ac:dyDescent="0.25">
      <c r="A5" s="16">
        <v>46085</v>
      </c>
      <c r="B5" s="3" t="s">
        <v>75</v>
      </c>
      <c r="C5" s="3" t="s">
        <v>81</v>
      </c>
      <c r="D5" s="3">
        <v>100</v>
      </c>
      <c r="E5" s="4">
        <v>272</v>
      </c>
      <c r="F5" s="4">
        <v>10</v>
      </c>
      <c r="G5" s="5">
        <f>SUM(D5*F5)</f>
        <v>1000</v>
      </c>
      <c r="H5" s="4">
        <v>100</v>
      </c>
      <c r="I5" s="4">
        <v>0</v>
      </c>
      <c r="J5" s="5">
        <f t="shared" si="0"/>
        <v>628</v>
      </c>
      <c r="K5" s="3" t="s">
        <v>12</v>
      </c>
      <c r="L5" s="3" t="s">
        <v>16</v>
      </c>
    </row>
    <row r="6" spans="1:12" x14ac:dyDescent="0.25">
      <c r="A6" s="16">
        <v>46086</v>
      </c>
      <c r="B6" s="3" t="s">
        <v>80</v>
      </c>
      <c r="C6" s="3" t="s">
        <v>28</v>
      </c>
      <c r="D6" s="3">
        <v>1</v>
      </c>
      <c r="E6" s="11">
        <v>13249.57</v>
      </c>
      <c r="F6" s="4">
        <v>0</v>
      </c>
      <c r="G6" s="5">
        <v>21000</v>
      </c>
      <c r="H6" s="4">
        <v>250</v>
      </c>
      <c r="I6" s="4">
        <v>2000</v>
      </c>
      <c r="J6" s="5">
        <f t="shared" si="0"/>
        <v>5500.43</v>
      </c>
      <c r="K6" s="3" t="s">
        <v>12</v>
      </c>
      <c r="L6" s="3" t="s">
        <v>13</v>
      </c>
    </row>
    <row r="7" spans="1:12" hidden="1" x14ac:dyDescent="0.25">
      <c r="A7" s="16">
        <v>46087</v>
      </c>
      <c r="B7" s="3" t="s">
        <v>74</v>
      </c>
      <c r="C7" s="3" t="s">
        <v>82</v>
      </c>
      <c r="D7" s="3">
        <v>130</v>
      </c>
      <c r="E7" s="4">
        <v>690.3</v>
      </c>
      <c r="F7" s="4">
        <v>13</v>
      </c>
      <c r="G7" s="5">
        <f>SUM(D7*F7)</f>
        <v>1690</v>
      </c>
      <c r="H7" s="4">
        <v>100</v>
      </c>
      <c r="I7" s="4">
        <v>0</v>
      </c>
      <c r="J7" s="5">
        <f t="shared" si="0"/>
        <v>899.7</v>
      </c>
      <c r="K7" s="3" t="s">
        <v>12</v>
      </c>
      <c r="L7" s="3" t="s">
        <v>13</v>
      </c>
    </row>
    <row r="8" spans="1:12" hidden="1" x14ac:dyDescent="0.25">
      <c r="A8" s="16">
        <v>46088</v>
      </c>
      <c r="B8" s="3" t="s">
        <v>83</v>
      </c>
      <c r="C8" s="3" t="s">
        <v>30</v>
      </c>
      <c r="D8" s="3">
        <v>1</v>
      </c>
      <c r="E8" s="4">
        <v>0</v>
      </c>
      <c r="F8" s="4">
        <v>0</v>
      </c>
      <c r="G8" s="5">
        <v>1000</v>
      </c>
      <c r="H8" s="4">
        <v>250</v>
      </c>
      <c r="I8" s="4">
        <v>250</v>
      </c>
      <c r="J8" s="5">
        <f t="shared" si="0"/>
        <v>500</v>
      </c>
      <c r="K8" s="3" t="s">
        <v>12</v>
      </c>
      <c r="L8" s="3" t="s">
        <v>16</v>
      </c>
    </row>
    <row r="9" spans="1:12" hidden="1" x14ac:dyDescent="0.25">
      <c r="A9" s="16">
        <v>46089</v>
      </c>
      <c r="B9" s="3" t="s">
        <v>45</v>
      </c>
      <c r="C9" s="3" t="s">
        <v>30</v>
      </c>
      <c r="D9" s="3">
        <v>1</v>
      </c>
      <c r="E9" s="4">
        <v>0</v>
      </c>
      <c r="F9" s="4">
        <v>0</v>
      </c>
      <c r="G9" s="5">
        <v>1000</v>
      </c>
      <c r="H9" s="4">
        <v>250</v>
      </c>
      <c r="I9" s="4">
        <v>250</v>
      </c>
      <c r="J9" s="5">
        <f t="shared" si="0"/>
        <v>500</v>
      </c>
      <c r="K9" s="3" t="s">
        <v>12</v>
      </c>
      <c r="L9" s="3" t="s">
        <v>16</v>
      </c>
    </row>
    <row r="10" spans="1:12" hidden="1" x14ac:dyDescent="0.25">
      <c r="A10" s="16">
        <v>46090</v>
      </c>
      <c r="B10" s="3" t="s">
        <v>51</v>
      </c>
      <c r="C10" s="3" t="s">
        <v>30</v>
      </c>
      <c r="D10" s="3">
        <v>1</v>
      </c>
      <c r="E10" s="4">
        <v>0</v>
      </c>
      <c r="F10" s="4">
        <v>0</v>
      </c>
      <c r="G10" s="5">
        <v>1000</v>
      </c>
      <c r="H10" s="4">
        <v>250</v>
      </c>
      <c r="I10" s="4">
        <v>250</v>
      </c>
      <c r="J10" s="5">
        <f t="shared" si="0"/>
        <v>500</v>
      </c>
      <c r="K10" s="3" t="s">
        <v>12</v>
      </c>
      <c r="L10" s="3" t="s">
        <v>16</v>
      </c>
    </row>
    <row r="11" spans="1:12" x14ac:dyDescent="0.25">
      <c r="A11" s="16">
        <v>46091</v>
      </c>
      <c r="B11" s="3" t="s">
        <v>74</v>
      </c>
      <c r="C11" s="3" t="s">
        <v>28</v>
      </c>
      <c r="D11" s="3">
        <v>1</v>
      </c>
      <c r="E11" s="11">
        <v>13249.57</v>
      </c>
      <c r="F11" s="4">
        <v>0</v>
      </c>
      <c r="G11" s="5">
        <v>21500</v>
      </c>
      <c r="H11" s="4">
        <v>250</v>
      </c>
      <c r="I11" s="4">
        <v>2000</v>
      </c>
      <c r="J11" s="5">
        <f t="shared" si="0"/>
        <v>6000.43</v>
      </c>
      <c r="K11" s="3" t="s">
        <v>12</v>
      </c>
      <c r="L11" s="3" t="s">
        <v>13</v>
      </c>
    </row>
    <row r="12" spans="1:12" hidden="1" x14ac:dyDescent="0.25">
      <c r="A12" s="16">
        <v>46092</v>
      </c>
      <c r="B12" s="3" t="s">
        <v>74</v>
      </c>
      <c r="C12" s="3" t="s">
        <v>30</v>
      </c>
      <c r="D12" s="3">
        <v>1</v>
      </c>
      <c r="E12" s="4">
        <v>0</v>
      </c>
      <c r="F12" s="4">
        <v>0</v>
      </c>
      <c r="G12" s="5">
        <v>900</v>
      </c>
      <c r="H12" s="4">
        <v>250</v>
      </c>
      <c r="I12" s="4">
        <v>250</v>
      </c>
      <c r="J12" s="5">
        <f t="shared" si="0"/>
        <v>400</v>
      </c>
      <c r="K12" s="3" t="s">
        <v>12</v>
      </c>
      <c r="L12" s="3" t="s">
        <v>13</v>
      </c>
    </row>
    <row r="13" spans="1:12" hidden="1" x14ac:dyDescent="0.25">
      <c r="A13" s="16">
        <v>46093</v>
      </c>
      <c r="B13" s="3" t="s">
        <v>84</v>
      </c>
      <c r="C13" s="3" t="s">
        <v>30</v>
      </c>
      <c r="D13" s="3">
        <v>1</v>
      </c>
      <c r="E13" s="4">
        <v>0</v>
      </c>
      <c r="F13" s="4">
        <v>0</v>
      </c>
      <c r="G13" s="5">
        <v>1500</v>
      </c>
      <c r="H13" s="4">
        <v>250</v>
      </c>
      <c r="I13" s="4">
        <v>500</v>
      </c>
      <c r="J13" s="5">
        <f t="shared" si="0"/>
        <v>750</v>
      </c>
      <c r="K13" s="3" t="s">
        <v>12</v>
      </c>
      <c r="L13" s="3" t="s">
        <v>16</v>
      </c>
    </row>
    <row r="14" spans="1:12" hidden="1" x14ac:dyDescent="0.25">
      <c r="A14" s="16">
        <v>46096</v>
      </c>
      <c r="B14" s="3" t="s">
        <v>85</v>
      </c>
      <c r="C14" s="3" t="s">
        <v>86</v>
      </c>
      <c r="D14" s="3">
        <v>1</v>
      </c>
      <c r="E14" s="4">
        <v>286.79000000000002</v>
      </c>
      <c r="F14" s="4">
        <v>0</v>
      </c>
      <c r="G14" s="5">
        <v>1600</v>
      </c>
      <c r="H14" s="4">
        <v>0</v>
      </c>
      <c r="I14" s="4">
        <v>200</v>
      </c>
      <c r="J14" s="5">
        <f t="shared" si="0"/>
        <v>1113.21</v>
      </c>
      <c r="K14" s="3" t="s">
        <v>12</v>
      </c>
      <c r="L14" s="3" t="s">
        <v>16</v>
      </c>
    </row>
    <row r="15" spans="1:12" hidden="1" x14ac:dyDescent="0.25">
      <c r="A15" s="16">
        <v>46099</v>
      </c>
      <c r="B15" s="3" t="s">
        <v>18</v>
      </c>
      <c r="C15" s="3" t="s">
        <v>30</v>
      </c>
      <c r="D15" s="3">
        <v>1</v>
      </c>
      <c r="E15" s="4">
        <v>0</v>
      </c>
      <c r="F15" s="4">
        <v>0</v>
      </c>
      <c r="G15" s="5">
        <v>750</v>
      </c>
      <c r="H15" s="4">
        <v>250</v>
      </c>
      <c r="I15" s="4">
        <v>250</v>
      </c>
      <c r="J15" s="5">
        <f t="shared" si="0"/>
        <v>250</v>
      </c>
      <c r="K15" s="3" t="s">
        <v>12</v>
      </c>
      <c r="L15" s="3" t="s">
        <v>16</v>
      </c>
    </row>
    <row r="16" spans="1:12" hidden="1" x14ac:dyDescent="0.25">
      <c r="A16" s="16">
        <v>46099</v>
      </c>
      <c r="B16" s="3" t="s">
        <v>14</v>
      </c>
      <c r="C16" s="3" t="s">
        <v>52</v>
      </c>
      <c r="D16" s="3">
        <v>15</v>
      </c>
      <c r="E16" s="4">
        <v>13.62</v>
      </c>
      <c r="F16" s="4">
        <v>21</v>
      </c>
      <c r="G16" s="5">
        <f>SUM(D16*F16)</f>
        <v>315</v>
      </c>
      <c r="H16" s="4">
        <f>SUM(D16*E16)</f>
        <v>204.29999999999998</v>
      </c>
      <c r="I16" s="4">
        <v>25</v>
      </c>
      <c r="J16" s="5">
        <f t="shared" si="0"/>
        <v>72.080000000000013</v>
      </c>
      <c r="K16" s="3" t="s">
        <v>12</v>
      </c>
      <c r="L16" s="3" t="s">
        <v>13</v>
      </c>
    </row>
    <row r="17" spans="1:12" hidden="1" x14ac:dyDescent="0.25">
      <c r="A17" s="16">
        <v>46103</v>
      </c>
      <c r="B17" s="3" t="s">
        <v>88</v>
      </c>
      <c r="C17" s="3" t="s">
        <v>89</v>
      </c>
      <c r="D17" s="3">
        <v>1</v>
      </c>
      <c r="E17" s="4">
        <v>0</v>
      </c>
      <c r="F17" s="4">
        <v>0</v>
      </c>
      <c r="G17" s="5">
        <v>800</v>
      </c>
      <c r="H17" s="4">
        <v>0</v>
      </c>
      <c r="I17" s="4">
        <v>400</v>
      </c>
      <c r="J17" s="5">
        <f t="shared" si="0"/>
        <v>400</v>
      </c>
      <c r="K17" s="3" t="s">
        <v>12</v>
      </c>
      <c r="L17" s="3" t="s">
        <v>16</v>
      </c>
    </row>
    <row r="18" spans="1:12" hidden="1" x14ac:dyDescent="0.25">
      <c r="A18" s="16">
        <v>46105</v>
      </c>
      <c r="B18" s="3" t="s">
        <v>184</v>
      </c>
      <c r="C18" s="3" t="s">
        <v>185</v>
      </c>
      <c r="D18" s="3">
        <v>1</v>
      </c>
      <c r="E18" s="4">
        <v>736.55</v>
      </c>
      <c r="F18" s="4">
        <v>1000</v>
      </c>
      <c r="G18" s="5">
        <v>1000</v>
      </c>
      <c r="H18" s="4">
        <v>736.55</v>
      </c>
      <c r="I18" s="4">
        <v>200</v>
      </c>
      <c r="J18" s="5">
        <f>SUM(G18-H18-I18)</f>
        <v>63.450000000000045</v>
      </c>
      <c r="K18" s="3" t="s">
        <v>12</v>
      </c>
      <c r="L18" s="3" t="s">
        <v>13</v>
      </c>
    </row>
    <row r="19" spans="1:12" hidden="1" x14ac:dyDescent="0.25">
      <c r="A19" s="16">
        <v>46105</v>
      </c>
      <c r="B19" s="3" t="s">
        <v>87</v>
      </c>
      <c r="C19" s="3" t="s">
        <v>30</v>
      </c>
      <c r="D19" s="3">
        <v>3</v>
      </c>
      <c r="E19" s="4">
        <v>0</v>
      </c>
      <c r="F19" s="4">
        <v>0</v>
      </c>
      <c r="G19" s="5">
        <v>3000</v>
      </c>
      <c r="H19" s="4">
        <v>750</v>
      </c>
      <c r="I19" s="4">
        <v>750</v>
      </c>
      <c r="J19" s="5">
        <f t="shared" si="0"/>
        <v>1500</v>
      </c>
      <c r="K19" s="3" t="s">
        <v>12</v>
      </c>
      <c r="L19" s="3" t="s">
        <v>16</v>
      </c>
    </row>
    <row r="20" spans="1:12" hidden="1" x14ac:dyDescent="0.25">
      <c r="A20" s="16">
        <v>46109</v>
      </c>
      <c r="B20" s="3" t="s">
        <v>90</v>
      </c>
      <c r="C20" s="3" t="s">
        <v>91</v>
      </c>
      <c r="D20" s="3">
        <v>1</v>
      </c>
      <c r="E20" s="4">
        <v>0</v>
      </c>
      <c r="F20" s="4">
        <v>0</v>
      </c>
      <c r="G20" s="5">
        <v>1800</v>
      </c>
      <c r="H20" s="4">
        <v>250</v>
      </c>
      <c r="I20" s="4">
        <v>650</v>
      </c>
      <c r="J20" s="5">
        <f t="shared" si="0"/>
        <v>900</v>
      </c>
      <c r="K20" s="3" t="s">
        <v>12</v>
      </c>
      <c r="L20" s="3" t="s">
        <v>16</v>
      </c>
    </row>
    <row r="21" spans="1:12" hidden="1" x14ac:dyDescent="0.25">
      <c r="A21" s="16">
        <v>46110</v>
      </c>
      <c r="B21" s="3" t="s">
        <v>84</v>
      </c>
      <c r="C21" s="3" t="s">
        <v>93</v>
      </c>
      <c r="D21" s="3">
        <v>18</v>
      </c>
      <c r="E21" s="4">
        <v>13.62</v>
      </c>
      <c r="F21" s="4">
        <v>21</v>
      </c>
      <c r="G21" s="5">
        <v>1130</v>
      </c>
      <c r="H21" s="4">
        <v>245.16</v>
      </c>
      <c r="I21" s="4">
        <v>400</v>
      </c>
      <c r="J21" s="5">
        <f>SUM(G21-H21-I21)</f>
        <v>484.84000000000003</v>
      </c>
      <c r="K21" s="3" t="s">
        <v>12</v>
      </c>
      <c r="L21" s="3" t="s">
        <v>16</v>
      </c>
    </row>
    <row r="22" spans="1:12" hidden="1" x14ac:dyDescent="0.25">
      <c r="A22" s="16">
        <v>46110</v>
      </c>
      <c r="B22" s="3" t="s">
        <v>92</v>
      </c>
      <c r="C22" s="3" t="s">
        <v>30</v>
      </c>
      <c r="D22" s="3">
        <v>1</v>
      </c>
      <c r="E22" s="4">
        <v>0</v>
      </c>
      <c r="F22" s="4">
        <v>0</v>
      </c>
      <c r="G22" s="5">
        <v>1000</v>
      </c>
      <c r="H22" s="4">
        <v>250</v>
      </c>
      <c r="I22" s="4">
        <v>250</v>
      </c>
      <c r="J22" s="5">
        <f t="shared" si="0"/>
        <v>500</v>
      </c>
      <c r="K22" s="3" t="s">
        <v>12</v>
      </c>
      <c r="L22" s="3" t="s">
        <v>16</v>
      </c>
    </row>
    <row r="23" spans="1:12" x14ac:dyDescent="0.25">
      <c r="A23" s="16">
        <v>46110</v>
      </c>
      <c r="B23" s="3" t="s">
        <v>97</v>
      </c>
      <c r="C23" s="3" t="s">
        <v>28</v>
      </c>
      <c r="D23" s="3">
        <v>1</v>
      </c>
      <c r="E23" s="11">
        <v>13249.57</v>
      </c>
      <c r="F23" s="4">
        <v>0</v>
      </c>
      <c r="G23" s="5">
        <v>22000</v>
      </c>
      <c r="H23" s="4">
        <v>250</v>
      </c>
      <c r="I23" s="4">
        <v>2000</v>
      </c>
      <c r="J23" s="5">
        <f t="shared" si="0"/>
        <v>6500.43</v>
      </c>
      <c r="K23" s="3" t="s">
        <v>12</v>
      </c>
      <c r="L23" s="3" t="s">
        <v>16</v>
      </c>
    </row>
    <row r="24" spans="1:12" hidden="1" x14ac:dyDescent="0.25">
      <c r="A24" s="16">
        <v>46110</v>
      </c>
      <c r="B24" s="3" t="s">
        <v>74</v>
      </c>
      <c r="C24" s="3" t="s">
        <v>94</v>
      </c>
      <c r="D24" s="3">
        <v>1</v>
      </c>
      <c r="E24" s="4">
        <v>0</v>
      </c>
      <c r="F24" s="4">
        <v>0</v>
      </c>
      <c r="G24" s="5">
        <v>1550</v>
      </c>
      <c r="H24" s="4">
        <v>250</v>
      </c>
      <c r="I24" s="4">
        <v>275</v>
      </c>
      <c r="J24" s="5">
        <f t="shared" si="0"/>
        <v>1025</v>
      </c>
      <c r="K24" s="3" t="s">
        <v>12</v>
      </c>
      <c r="L24" s="3" t="s">
        <v>13</v>
      </c>
    </row>
    <row r="25" spans="1:12" hidden="1" x14ac:dyDescent="0.25">
      <c r="A25" s="16">
        <v>46111</v>
      </c>
      <c r="B25" s="3" t="s">
        <v>74</v>
      </c>
      <c r="C25" s="3" t="s">
        <v>95</v>
      </c>
      <c r="D25" s="3">
        <v>4</v>
      </c>
      <c r="E25" s="4">
        <v>106.71</v>
      </c>
      <c r="F25" s="4">
        <v>325</v>
      </c>
      <c r="G25" s="5">
        <f>SUM(D25*F25)</f>
        <v>1300</v>
      </c>
      <c r="H25" s="4">
        <f>SUM(D25*E25)</f>
        <v>426.84</v>
      </c>
      <c r="I25" s="4">
        <v>0</v>
      </c>
      <c r="J25" s="5">
        <f>SUM(G25-H25)</f>
        <v>873.16000000000008</v>
      </c>
      <c r="K25" s="3" t="s">
        <v>12</v>
      </c>
      <c r="L25" s="3" t="s">
        <v>13</v>
      </c>
    </row>
    <row r="26" spans="1:12" hidden="1" x14ac:dyDescent="0.25">
      <c r="A26" s="16">
        <v>46112</v>
      </c>
      <c r="B26" s="3" t="s">
        <v>96</v>
      </c>
      <c r="C26" s="3" t="s">
        <v>30</v>
      </c>
      <c r="D26" s="3">
        <v>1</v>
      </c>
      <c r="E26" s="4">
        <v>0</v>
      </c>
      <c r="F26" s="4">
        <v>0</v>
      </c>
      <c r="G26" s="5">
        <v>1000</v>
      </c>
      <c r="H26" s="4">
        <v>250</v>
      </c>
      <c r="I26" s="4">
        <v>250</v>
      </c>
      <c r="J26" s="5">
        <f t="shared" si="0"/>
        <v>500</v>
      </c>
      <c r="K26" s="3" t="s">
        <v>12</v>
      </c>
      <c r="L26" s="3" t="s">
        <v>16</v>
      </c>
    </row>
    <row r="27" spans="1:12" x14ac:dyDescent="0.25">
      <c r="A27" s="16">
        <v>46112</v>
      </c>
      <c r="B27" s="3" t="s">
        <v>80</v>
      </c>
      <c r="C27" s="3" t="s">
        <v>28</v>
      </c>
      <c r="D27" s="3">
        <v>1</v>
      </c>
      <c r="E27" s="23">
        <v>13249.57</v>
      </c>
      <c r="F27" s="4">
        <v>0</v>
      </c>
      <c r="G27" s="5">
        <v>21000</v>
      </c>
      <c r="H27" s="4">
        <v>250</v>
      </c>
      <c r="I27" s="4">
        <v>2000</v>
      </c>
      <c r="J27" s="5">
        <f t="shared" si="0"/>
        <v>5500.43</v>
      </c>
      <c r="K27" s="3" t="s">
        <v>12</v>
      </c>
      <c r="L27" s="3" t="s">
        <v>13</v>
      </c>
    </row>
    <row r="28" spans="1:12" x14ac:dyDescent="0.25">
      <c r="A28" s="16"/>
      <c r="B28" s="3"/>
      <c r="C28" s="3"/>
      <c r="D28" s="3"/>
      <c r="E28" s="4"/>
      <c r="F28" s="4"/>
      <c r="G28" s="5"/>
      <c r="H28" s="4"/>
      <c r="I28" s="4"/>
      <c r="J28" s="5"/>
      <c r="K28" s="3"/>
      <c r="L28" s="3"/>
    </row>
    <row r="29" spans="1:12" x14ac:dyDescent="0.25">
      <c r="A29" s="16"/>
      <c r="B29" s="3"/>
      <c r="C29" s="3"/>
      <c r="D29" s="3"/>
      <c r="E29" s="4"/>
      <c r="F29" s="4"/>
      <c r="G29" s="5"/>
      <c r="H29" s="4"/>
      <c r="I29" s="4"/>
      <c r="J29" s="5"/>
      <c r="K29" s="3"/>
      <c r="L29" s="3"/>
    </row>
    <row r="30" spans="1:12" x14ac:dyDescent="0.25">
      <c r="A30" s="17"/>
      <c r="E30" s="7"/>
      <c r="F30" s="7"/>
      <c r="G30" s="8"/>
      <c r="H30" s="7"/>
      <c r="I30" s="7"/>
      <c r="J30" s="7"/>
    </row>
    <row r="31" spans="1:12" x14ac:dyDescent="0.25">
      <c r="A31" s="17"/>
      <c r="C31" s="185" t="s">
        <v>19</v>
      </c>
      <c r="D31" s="186"/>
      <c r="E31" s="186"/>
      <c r="F31" s="187"/>
      <c r="G31" s="9">
        <f>SUM(G2:G28)</f>
        <v>111055</v>
      </c>
      <c r="H31" s="9">
        <f>SUM(H3:H28)</f>
        <v>6562.85</v>
      </c>
      <c r="I31" s="9">
        <f>SUM(I3:I28)</f>
        <v>13650</v>
      </c>
      <c r="J31" s="9">
        <f>SUM(J2:J28)</f>
        <v>36361.160000000003</v>
      </c>
    </row>
    <row r="32" spans="1:12" x14ac:dyDescent="0.25">
      <c r="A32" s="17"/>
      <c r="D32" s="10"/>
      <c r="E32" s="10"/>
      <c r="F32" s="10"/>
      <c r="G32" s="188" t="s">
        <v>20</v>
      </c>
      <c r="H32" s="188"/>
      <c r="I32" s="188"/>
      <c r="J32" s="11">
        <v>5700</v>
      </c>
    </row>
    <row r="33" spans="1:12" x14ac:dyDescent="0.25">
      <c r="A33" s="17"/>
      <c r="D33" s="12"/>
      <c r="E33" s="12"/>
      <c r="F33" s="12"/>
      <c r="G33" s="192" t="s">
        <v>79</v>
      </c>
      <c r="H33" s="193"/>
      <c r="I33" s="194"/>
      <c r="J33" s="11">
        <v>0</v>
      </c>
    </row>
    <row r="34" spans="1:12" x14ac:dyDescent="0.25">
      <c r="A34" s="17"/>
      <c r="D34" s="12"/>
      <c r="E34" s="12"/>
      <c r="F34" s="12"/>
      <c r="G34" s="188" t="s">
        <v>21</v>
      </c>
      <c r="H34" s="188"/>
      <c r="I34" s="188"/>
      <c r="J34" s="11">
        <v>16125</v>
      </c>
    </row>
    <row r="35" spans="1:12" x14ac:dyDescent="0.25">
      <c r="A35" s="17"/>
      <c r="D35" s="12"/>
      <c r="E35" s="12"/>
      <c r="F35" s="12"/>
      <c r="G35" s="192" t="s">
        <v>77</v>
      </c>
      <c r="H35" s="193"/>
      <c r="I35" s="194"/>
      <c r="J35" s="11">
        <v>1057.06</v>
      </c>
    </row>
    <row r="36" spans="1:12" x14ac:dyDescent="0.25">
      <c r="A36" s="17"/>
      <c r="D36" s="12"/>
      <c r="E36" s="12"/>
      <c r="F36" s="12"/>
      <c r="G36" s="188" t="s">
        <v>22</v>
      </c>
      <c r="H36" s="188"/>
      <c r="I36" s="188"/>
      <c r="J36" s="11">
        <v>1308</v>
      </c>
    </row>
    <row r="37" spans="1:12" x14ac:dyDescent="0.25">
      <c r="A37" s="17"/>
      <c r="D37" s="12"/>
      <c r="E37" s="12"/>
      <c r="F37" s="12"/>
      <c r="G37" s="188" t="s">
        <v>23</v>
      </c>
      <c r="H37" s="188"/>
      <c r="I37" s="188"/>
      <c r="J37" s="11">
        <v>70</v>
      </c>
    </row>
    <row r="38" spans="1:12" x14ac:dyDescent="0.25">
      <c r="A38" s="17"/>
      <c r="D38" s="189" t="s">
        <v>24</v>
      </c>
      <c r="E38" s="190"/>
      <c r="F38" s="190"/>
      <c r="G38" s="190"/>
      <c r="H38" s="190"/>
      <c r="I38" s="191"/>
      <c r="J38" s="13">
        <f>SUM(J32:J37)</f>
        <v>24260.06</v>
      </c>
    </row>
    <row r="39" spans="1:12" x14ac:dyDescent="0.25">
      <c r="A39" s="17"/>
      <c r="D39" s="182" t="s">
        <v>25</v>
      </c>
      <c r="E39" s="183"/>
      <c r="F39" s="183"/>
      <c r="G39" s="183"/>
      <c r="H39" s="183"/>
      <c r="I39" s="184"/>
      <c r="J39" s="14">
        <f>SUM(J31-J38)</f>
        <v>12101.100000000002</v>
      </c>
      <c r="K39" s="7">
        <v>9747.75</v>
      </c>
    </row>
    <row r="41" spans="1:12" ht="15.75" thickBot="1" x14ac:dyDescent="0.3"/>
    <row r="42" spans="1:12" ht="15.75" thickBot="1" x14ac:dyDescent="0.3">
      <c r="D42" s="36" t="s">
        <v>101</v>
      </c>
      <c r="E42" s="37" t="s">
        <v>105</v>
      </c>
      <c r="F42" s="37" t="s">
        <v>102</v>
      </c>
      <c r="G42" s="37" t="s">
        <v>104</v>
      </c>
      <c r="H42" s="37" t="s">
        <v>103</v>
      </c>
      <c r="I42" s="37" t="s">
        <v>128</v>
      </c>
      <c r="J42" s="52" t="s">
        <v>131</v>
      </c>
      <c r="K42" s="52" t="s">
        <v>98</v>
      </c>
      <c r="L42" s="38" t="s">
        <v>132</v>
      </c>
    </row>
    <row r="43" spans="1:12" x14ac:dyDescent="0.25">
      <c r="D43" s="39" t="s">
        <v>100</v>
      </c>
      <c r="E43" s="41" t="s">
        <v>109</v>
      </c>
      <c r="F43" s="46">
        <v>75</v>
      </c>
      <c r="G43" s="49" t="s">
        <v>124</v>
      </c>
      <c r="H43" s="41" t="s">
        <v>118</v>
      </c>
      <c r="I43" s="41" t="s">
        <v>124</v>
      </c>
      <c r="J43" s="53" t="s">
        <v>133</v>
      </c>
      <c r="K43" s="53">
        <v>-2</v>
      </c>
      <c r="L43" s="45" t="s">
        <v>135</v>
      </c>
    </row>
    <row r="44" spans="1:12" x14ac:dyDescent="0.25">
      <c r="D44" s="31" t="s">
        <v>106</v>
      </c>
      <c r="E44" s="3" t="s">
        <v>110</v>
      </c>
      <c r="F44" s="47">
        <v>24</v>
      </c>
      <c r="G44" s="50" t="s">
        <v>117</v>
      </c>
      <c r="H44" s="4" t="s">
        <v>125</v>
      </c>
      <c r="I44" s="3">
        <v>0</v>
      </c>
      <c r="J44" s="54">
        <v>0</v>
      </c>
      <c r="K44" s="54">
        <v>0</v>
      </c>
      <c r="L44" s="44" t="s">
        <v>125</v>
      </c>
    </row>
    <row r="45" spans="1:12" x14ac:dyDescent="0.25">
      <c r="D45" s="31" t="s">
        <v>106</v>
      </c>
      <c r="E45" s="3" t="s">
        <v>111</v>
      </c>
      <c r="F45" s="47">
        <v>5</v>
      </c>
      <c r="G45" s="50" t="s">
        <v>120</v>
      </c>
      <c r="H45" s="3">
        <v>0</v>
      </c>
      <c r="I45" s="3">
        <v>0</v>
      </c>
      <c r="J45" s="54">
        <v>0</v>
      </c>
      <c r="K45" s="54">
        <v>0</v>
      </c>
      <c r="L45" s="44">
        <v>0</v>
      </c>
    </row>
    <row r="46" spans="1:12" x14ac:dyDescent="0.25">
      <c r="D46" s="31" t="s">
        <v>100</v>
      </c>
      <c r="E46" s="3" t="s">
        <v>112</v>
      </c>
      <c r="F46" s="47">
        <v>3</v>
      </c>
      <c r="G46" s="50" t="s">
        <v>120</v>
      </c>
      <c r="H46" s="3">
        <v>0</v>
      </c>
      <c r="I46" s="3">
        <v>0</v>
      </c>
      <c r="J46" s="54">
        <v>0</v>
      </c>
      <c r="K46" s="54">
        <v>0</v>
      </c>
      <c r="L46" s="44">
        <v>0</v>
      </c>
    </row>
    <row r="47" spans="1:12" x14ac:dyDescent="0.25">
      <c r="D47" s="31" t="s">
        <v>66</v>
      </c>
      <c r="E47" s="3" t="s">
        <v>112</v>
      </c>
      <c r="F47" s="47">
        <v>10</v>
      </c>
      <c r="G47" s="50" t="s">
        <v>120</v>
      </c>
      <c r="H47" s="3">
        <v>0</v>
      </c>
      <c r="I47" s="3" t="s">
        <v>125</v>
      </c>
      <c r="J47" s="53">
        <v>0</v>
      </c>
      <c r="K47" s="54">
        <v>0</v>
      </c>
      <c r="L47" s="44" t="s">
        <v>125</v>
      </c>
    </row>
    <row r="48" spans="1:12" x14ac:dyDescent="0.25">
      <c r="D48" s="31" t="s">
        <v>99</v>
      </c>
      <c r="E48" s="3" t="s">
        <v>113</v>
      </c>
      <c r="F48" s="47">
        <v>150</v>
      </c>
      <c r="G48" s="50" t="s">
        <v>119</v>
      </c>
      <c r="H48" s="3" t="s">
        <v>126</v>
      </c>
      <c r="I48" s="3" t="s">
        <v>122</v>
      </c>
      <c r="J48" s="54" t="s">
        <v>134</v>
      </c>
      <c r="K48" s="54">
        <v>-8</v>
      </c>
      <c r="L48" s="44" t="s">
        <v>136</v>
      </c>
    </row>
    <row r="49" spans="4:12" x14ac:dyDescent="0.25">
      <c r="D49" s="31" t="s">
        <v>99</v>
      </c>
      <c r="E49" s="3" t="s">
        <v>114</v>
      </c>
      <c r="F49" s="47">
        <v>100</v>
      </c>
      <c r="G49" s="50" t="s">
        <v>121</v>
      </c>
      <c r="H49" s="3" t="s">
        <v>122</v>
      </c>
      <c r="I49" s="3">
        <v>0</v>
      </c>
      <c r="J49" s="54">
        <v>0</v>
      </c>
      <c r="K49" s="54">
        <v>0</v>
      </c>
      <c r="L49" s="44" t="s">
        <v>122</v>
      </c>
    </row>
    <row r="50" spans="4:12" x14ac:dyDescent="0.25">
      <c r="D50" s="31" t="s">
        <v>99</v>
      </c>
      <c r="E50" s="3" t="s">
        <v>115</v>
      </c>
      <c r="F50" s="47">
        <v>100</v>
      </c>
      <c r="G50" s="50" t="s">
        <v>121</v>
      </c>
      <c r="H50" s="3">
        <v>0</v>
      </c>
      <c r="I50" s="3" t="s">
        <v>129</v>
      </c>
      <c r="J50" s="54">
        <v>0</v>
      </c>
      <c r="K50" s="54">
        <v>0</v>
      </c>
      <c r="L50" s="44" t="s">
        <v>129</v>
      </c>
    </row>
    <row r="51" spans="4:12" x14ac:dyDescent="0.25">
      <c r="D51" s="31" t="s">
        <v>99</v>
      </c>
      <c r="E51" s="3" t="s">
        <v>116</v>
      </c>
      <c r="F51" s="47">
        <v>100</v>
      </c>
      <c r="G51" s="50" t="s">
        <v>121</v>
      </c>
      <c r="H51" s="3" t="s">
        <v>127</v>
      </c>
      <c r="I51" s="3">
        <v>0</v>
      </c>
      <c r="J51" s="54">
        <v>0</v>
      </c>
      <c r="K51" s="54">
        <v>0</v>
      </c>
      <c r="L51" s="44" t="s">
        <v>127</v>
      </c>
    </row>
    <row r="52" spans="4:12" x14ac:dyDescent="0.25">
      <c r="D52" s="31" t="s">
        <v>107</v>
      </c>
      <c r="E52" s="3"/>
      <c r="F52" s="47">
        <v>18</v>
      </c>
      <c r="G52" s="50" t="s">
        <v>123</v>
      </c>
      <c r="H52" s="3" t="s">
        <v>118</v>
      </c>
      <c r="I52" s="3" t="s">
        <v>125</v>
      </c>
      <c r="J52" s="54" t="s">
        <v>125</v>
      </c>
      <c r="K52" s="54">
        <v>0</v>
      </c>
      <c r="L52" s="44" t="s">
        <v>133</v>
      </c>
    </row>
    <row r="53" spans="4:12" ht="15.75" thickBot="1" x14ac:dyDescent="0.3">
      <c r="D53" s="40" t="s">
        <v>108</v>
      </c>
      <c r="E53" s="42" t="s">
        <v>110</v>
      </c>
      <c r="F53" s="48">
        <v>25</v>
      </c>
      <c r="G53" s="51" t="s">
        <v>123</v>
      </c>
      <c r="H53" s="42">
        <v>0</v>
      </c>
      <c r="I53" s="42">
        <v>0</v>
      </c>
      <c r="J53" s="55">
        <v>0</v>
      </c>
      <c r="K53" s="55">
        <v>0</v>
      </c>
      <c r="L53" s="43">
        <v>0</v>
      </c>
    </row>
    <row r="54" spans="4:12" x14ac:dyDescent="0.25">
      <c r="E54" s="32"/>
      <c r="F54" s="32"/>
      <c r="G54" s="33"/>
      <c r="H54" s="33"/>
      <c r="I54" s="34"/>
    </row>
    <row r="55" spans="4:12" x14ac:dyDescent="0.25">
      <c r="E55" s="32"/>
      <c r="F55" s="32"/>
      <c r="G55" s="33"/>
      <c r="H55" s="33"/>
      <c r="I55" s="34"/>
    </row>
    <row r="56" spans="4:12" x14ac:dyDescent="0.25">
      <c r="I56" s="35"/>
    </row>
  </sheetData>
  <autoFilter ref="A1:L27" xr:uid="{382EB31B-3E97-4465-A9FA-17765C049F94}">
    <filterColumn colId="2">
      <filters>
        <filter val="SLI System (BT)"/>
      </filters>
    </filterColumn>
  </autoFilter>
  <mergeCells count="9">
    <mergeCell ref="D39:I39"/>
    <mergeCell ref="C31:F31"/>
    <mergeCell ref="G32:I32"/>
    <mergeCell ref="G34:I34"/>
    <mergeCell ref="G36:I36"/>
    <mergeCell ref="G37:I37"/>
    <mergeCell ref="D38:I38"/>
    <mergeCell ref="G35:I35"/>
    <mergeCell ref="G33:I33"/>
  </mergeCells>
  <conditionalFormatting sqref="K2:K29">
    <cfRule type="containsText" dxfId="17" priority="2" operator="containsText" text="Overdue">
      <formula>NOT(ISERROR(SEARCH("Overdue",K2)))</formula>
    </cfRule>
    <cfRule type="containsText" dxfId="16" priority="3" operator="containsText" text="Pending">
      <formula>NOT(ISERROR(SEARCH("Pending",K2)))</formula>
    </cfRule>
  </conditionalFormatting>
  <conditionalFormatting sqref="K2:L29">
    <cfRule type="containsText" dxfId="15" priority="1" operator="containsText" text="Paid">
      <formula>NOT(ISERROR(SEARCH("Paid",K2)))</formula>
    </cfRule>
  </conditionalFormatting>
  <conditionalFormatting sqref="L2:L29">
    <cfRule type="containsText" dxfId="14" priority="5" operator="containsText" text="Unpaid">
      <formula>NOT(ISERROR(SEARCH("Unpaid",L2)))</formula>
    </cfRule>
  </conditionalFormatting>
  <dataValidations xWindow="1565" yWindow="519" count="2">
    <dataValidation type="list" allowBlank="1" showInputMessage="1" showErrorMessage="1" promptTitle="Payment Status" prompt="Choose from the list" sqref="L2:L29" xr:uid="{D6FE6AD2-7A45-41DA-98D2-90D581F39DBC}">
      <formula1>"Unpaid,Partial,Paid"</formula1>
    </dataValidation>
    <dataValidation type="list" allowBlank="1" showInputMessage="1" showErrorMessage="1" promptTitle="Invoice Status" prompt="Choose from the list" sqref="K2:K29" xr:uid="{4EEC9E0A-147C-4ACE-8F50-DD60A9F03C22}">
      <formula1>"Pending,Sent,Paid,Overdue"</formula1>
    </dataValidation>
  </dataValidations>
  <pageMargins left="0.7" right="0.7" top="0.75" bottom="0.75" header="0.3" footer="0.3"/>
  <pageSetup paperSize="9" scale="59" orientation="landscape" verticalDpi="0" r:id="rId1"/>
  <ignoredErrors>
    <ignoredError sqref="J2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7C24-B10E-4AEC-8089-26D709C393D5}">
  <sheetPr>
    <pageSetUpPr fitToPage="1"/>
  </sheetPr>
  <dimension ref="A1:L57"/>
  <sheetViews>
    <sheetView workbookViewId="0">
      <selection activeCell="J43" sqref="J43"/>
    </sheetView>
  </sheetViews>
  <sheetFormatPr defaultRowHeight="15" x14ac:dyDescent="0.25"/>
  <cols>
    <col min="2" max="2" width="28.28515625" customWidth="1"/>
    <col min="3" max="3" width="39.7109375" customWidth="1"/>
    <col min="4" max="4" width="15" customWidth="1"/>
    <col min="5" max="5" width="17.5703125" customWidth="1"/>
    <col min="6" max="6" width="15.7109375" customWidth="1"/>
    <col min="7" max="7" width="17.42578125" style="57" customWidth="1"/>
    <col min="8" max="8" width="19.7109375" customWidth="1"/>
    <col min="9" max="9" width="17.28515625" customWidth="1"/>
    <col min="10" max="10" width="21.42578125" customWidth="1"/>
    <col min="11" max="11" width="16.5703125" customWidth="1"/>
    <col min="12" max="12" width="18" customWidth="1"/>
  </cols>
  <sheetData>
    <row r="1" spans="1:12" x14ac:dyDescent="0.25">
      <c r="A1" s="15" t="s">
        <v>0</v>
      </c>
      <c r="B1" s="1" t="s">
        <v>9</v>
      </c>
      <c r="C1" s="1" t="s">
        <v>1</v>
      </c>
      <c r="D1" s="1" t="s">
        <v>2</v>
      </c>
      <c r="E1" s="2" t="s">
        <v>3</v>
      </c>
      <c r="F1" s="2" t="s">
        <v>4</v>
      </c>
      <c r="G1" s="65" t="s">
        <v>5</v>
      </c>
      <c r="H1" s="24" t="s">
        <v>6</v>
      </c>
      <c r="I1" s="2" t="s">
        <v>7</v>
      </c>
      <c r="J1" s="26" t="s">
        <v>8</v>
      </c>
      <c r="K1" s="1" t="s">
        <v>10</v>
      </c>
      <c r="L1" s="1" t="s">
        <v>11</v>
      </c>
    </row>
    <row r="2" spans="1:12" x14ac:dyDescent="0.25">
      <c r="A2" s="16">
        <v>46113</v>
      </c>
      <c r="B2" s="3" t="s">
        <v>158</v>
      </c>
      <c r="C2" s="3" t="s">
        <v>30</v>
      </c>
      <c r="D2" s="3">
        <v>1</v>
      </c>
      <c r="E2" s="4">
        <v>0</v>
      </c>
      <c r="F2" s="4">
        <v>1000</v>
      </c>
      <c r="G2" s="20">
        <v>1000</v>
      </c>
      <c r="H2" s="25">
        <v>250</v>
      </c>
      <c r="I2" s="4">
        <v>250</v>
      </c>
      <c r="J2" s="19">
        <f>SUM(G2-I2-H2-E2)</f>
        <v>500</v>
      </c>
      <c r="K2" s="3" t="s">
        <v>12</v>
      </c>
      <c r="L2" s="6" t="s">
        <v>16</v>
      </c>
    </row>
    <row r="3" spans="1:12" x14ac:dyDescent="0.25">
      <c r="A3" s="16">
        <v>46115</v>
      </c>
      <c r="B3" s="3" t="s">
        <v>158</v>
      </c>
      <c r="C3" s="3" t="s">
        <v>161</v>
      </c>
      <c r="D3" s="3">
        <v>4</v>
      </c>
      <c r="E3" s="4">
        <v>0</v>
      </c>
      <c r="F3" s="4">
        <v>0</v>
      </c>
      <c r="G3" s="20">
        <v>999</v>
      </c>
      <c r="H3" s="25">
        <v>200</v>
      </c>
      <c r="I3" s="25">
        <v>799</v>
      </c>
      <c r="J3" s="19">
        <f>SUM(G3-I3)</f>
        <v>200</v>
      </c>
      <c r="K3" s="3" t="s">
        <v>12</v>
      </c>
      <c r="L3" s="6" t="s">
        <v>16</v>
      </c>
    </row>
    <row r="4" spans="1:12" x14ac:dyDescent="0.25">
      <c r="A4" s="16">
        <v>46113</v>
      </c>
      <c r="B4" s="3" t="s">
        <v>137</v>
      </c>
      <c r="C4" s="3" t="s">
        <v>138</v>
      </c>
      <c r="D4" s="3">
        <v>16</v>
      </c>
      <c r="E4" s="20">
        <v>756.74</v>
      </c>
      <c r="F4" s="4">
        <v>1150</v>
      </c>
      <c r="G4" s="20">
        <f>SUM(D4*F4)</f>
        <v>18400</v>
      </c>
      <c r="H4" s="25">
        <f>SUM(D4*E4)</f>
        <v>12107.84</v>
      </c>
      <c r="I4" s="4">
        <v>0</v>
      </c>
      <c r="J4" s="19">
        <f>SUM(G4-I4-H4-E4)</f>
        <v>5535.42</v>
      </c>
      <c r="K4" s="3" t="s">
        <v>12</v>
      </c>
      <c r="L4" s="6" t="s">
        <v>16</v>
      </c>
    </row>
    <row r="5" spans="1:12" x14ac:dyDescent="0.25">
      <c r="A5" s="16">
        <v>46118</v>
      </c>
      <c r="B5" s="3" t="s">
        <v>139</v>
      </c>
      <c r="C5" s="3" t="s">
        <v>30</v>
      </c>
      <c r="D5" s="3">
        <v>1</v>
      </c>
      <c r="E5" s="4">
        <v>0</v>
      </c>
      <c r="F5" s="4">
        <v>1000</v>
      </c>
      <c r="G5" s="20">
        <f t="shared" ref="G5:G29" si="0">SUM(D5*F5)</f>
        <v>1000</v>
      </c>
      <c r="H5" s="25">
        <v>250</v>
      </c>
      <c r="I5" s="4">
        <v>250</v>
      </c>
      <c r="J5" s="19">
        <f t="shared" ref="J5:J28" si="1">SUM(G5-I5-H5-E5)</f>
        <v>500</v>
      </c>
      <c r="K5" s="3" t="s">
        <v>12</v>
      </c>
      <c r="L5" s="3" t="s">
        <v>16</v>
      </c>
    </row>
    <row r="6" spans="1:12" x14ac:dyDescent="0.25">
      <c r="A6" s="16">
        <v>46119</v>
      </c>
      <c r="B6" s="3" t="s">
        <v>140</v>
      </c>
      <c r="C6" s="3" t="s">
        <v>141</v>
      </c>
      <c r="D6" s="3">
        <v>18</v>
      </c>
      <c r="E6" s="4">
        <v>13.62</v>
      </c>
      <c r="F6" s="4">
        <v>21</v>
      </c>
      <c r="G6" s="20">
        <f t="shared" si="0"/>
        <v>378</v>
      </c>
      <c r="H6" s="25">
        <f>SUM(D6*E6)</f>
        <v>245.16</v>
      </c>
      <c r="I6" s="4">
        <v>25</v>
      </c>
      <c r="J6" s="19">
        <f t="shared" si="1"/>
        <v>94.22</v>
      </c>
      <c r="K6" s="3" t="s">
        <v>12</v>
      </c>
      <c r="L6" s="3" t="s">
        <v>16</v>
      </c>
    </row>
    <row r="7" spans="1:12" x14ac:dyDescent="0.25">
      <c r="A7" s="16">
        <v>46123</v>
      </c>
      <c r="B7" s="3" t="s">
        <v>142</v>
      </c>
      <c r="C7" s="3" t="s">
        <v>30</v>
      </c>
      <c r="D7" s="3">
        <v>1</v>
      </c>
      <c r="E7" s="4">
        <v>0</v>
      </c>
      <c r="F7" s="4">
        <v>900</v>
      </c>
      <c r="G7" s="20">
        <f t="shared" si="0"/>
        <v>900</v>
      </c>
      <c r="H7" s="25">
        <v>0</v>
      </c>
      <c r="I7" s="4">
        <v>250</v>
      </c>
      <c r="J7" s="19">
        <f t="shared" si="1"/>
        <v>650</v>
      </c>
      <c r="K7" s="3" t="s">
        <v>12</v>
      </c>
      <c r="L7" s="3" t="s">
        <v>13</v>
      </c>
    </row>
    <row r="8" spans="1:12" x14ac:dyDescent="0.25">
      <c r="A8" s="16">
        <v>46124</v>
      </c>
      <c r="B8" s="3" t="s">
        <v>142</v>
      </c>
      <c r="C8" s="3" t="s">
        <v>143</v>
      </c>
      <c r="D8" s="3">
        <v>1</v>
      </c>
      <c r="E8" s="23">
        <v>0</v>
      </c>
      <c r="F8" s="4">
        <v>900</v>
      </c>
      <c r="G8" s="20">
        <f t="shared" si="0"/>
        <v>900</v>
      </c>
      <c r="H8" s="25">
        <v>0</v>
      </c>
      <c r="I8" s="4">
        <v>50</v>
      </c>
      <c r="J8" s="19">
        <f t="shared" si="1"/>
        <v>850</v>
      </c>
      <c r="K8" s="3" t="s">
        <v>12</v>
      </c>
      <c r="L8" s="3" t="s">
        <v>16</v>
      </c>
    </row>
    <row r="9" spans="1:12" x14ac:dyDescent="0.25">
      <c r="A9" s="16">
        <v>46124</v>
      </c>
      <c r="B9" s="3" t="s">
        <v>18</v>
      </c>
      <c r="C9" s="3" t="s">
        <v>30</v>
      </c>
      <c r="D9" s="3">
        <v>3</v>
      </c>
      <c r="E9" s="4">
        <v>0</v>
      </c>
      <c r="F9" s="4">
        <v>1900</v>
      </c>
      <c r="G9" s="20">
        <f t="shared" si="0"/>
        <v>5700</v>
      </c>
      <c r="H9" s="25">
        <v>0</v>
      </c>
      <c r="I9" s="4">
        <v>750</v>
      </c>
      <c r="J9" s="19">
        <f t="shared" si="1"/>
        <v>4950</v>
      </c>
      <c r="K9" s="3" t="s">
        <v>12</v>
      </c>
      <c r="L9" s="3" t="s">
        <v>13</v>
      </c>
    </row>
    <row r="10" spans="1:12" x14ac:dyDescent="0.25">
      <c r="A10" s="16">
        <v>46125</v>
      </c>
      <c r="B10" s="3" t="s">
        <v>144</v>
      </c>
      <c r="C10" s="3" t="s">
        <v>30</v>
      </c>
      <c r="D10" s="3">
        <v>1</v>
      </c>
      <c r="E10" s="4">
        <v>0</v>
      </c>
      <c r="F10" s="4">
        <v>1000</v>
      </c>
      <c r="G10" s="20">
        <f t="shared" si="0"/>
        <v>1000</v>
      </c>
      <c r="H10" s="25">
        <v>0</v>
      </c>
      <c r="I10" s="4">
        <v>250</v>
      </c>
      <c r="J10" s="19">
        <f t="shared" si="1"/>
        <v>750</v>
      </c>
      <c r="K10" s="3" t="s">
        <v>12</v>
      </c>
      <c r="L10" s="3" t="s">
        <v>13</v>
      </c>
    </row>
    <row r="11" spans="1:12" x14ac:dyDescent="0.25">
      <c r="A11" s="16">
        <v>46126</v>
      </c>
      <c r="B11" s="3" t="s">
        <v>166</v>
      </c>
      <c r="C11" s="3" t="s">
        <v>167</v>
      </c>
      <c r="D11" s="3">
        <v>1</v>
      </c>
      <c r="E11" s="4">
        <v>234.82</v>
      </c>
      <c r="F11" s="4">
        <v>0</v>
      </c>
      <c r="G11" s="20">
        <v>335</v>
      </c>
      <c r="H11" s="25">
        <v>0</v>
      </c>
      <c r="I11" s="4">
        <v>100</v>
      </c>
      <c r="J11" s="19">
        <v>0</v>
      </c>
      <c r="K11" s="3" t="s">
        <v>12</v>
      </c>
      <c r="L11" s="3" t="s">
        <v>239</v>
      </c>
    </row>
    <row r="12" spans="1:12" x14ac:dyDescent="0.25">
      <c r="A12" s="16">
        <v>46126</v>
      </c>
      <c r="B12" s="3" t="s">
        <v>145</v>
      </c>
      <c r="C12" s="3" t="s">
        <v>30</v>
      </c>
      <c r="D12" s="3">
        <v>1</v>
      </c>
      <c r="E12" s="4">
        <v>0</v>
      </c>
      <c r="F12" s="4">
        <v>800</v>
      </c>
      <c r="G12" s="20">
        <f t="shared" si="0"/>
        <v>800</v>
      </c>
      <c r="H12" s="25">
        <v>0</v>
      </c>
      <c r="I12" s="4">
        <v>250</v>
      </c>
      <c r="J12" s="19">
        <f t="shared" si="1"/>
        <v>550</v>
      </c>
      <c r="K12" s="3" t="s">
        <v>12</v>
      </c>
      <c r="L12" s="3" t="s">
        <v>16</v>
      </c>
    </row>
    <row r="13" spans="1:12" x14ac:dyDescent="0.25">
      <c r="A13" s="16">
        <v>46126</v>
      </c>
      <c r="B13" s="3" t="s">
        <v>14</v>
      </c>
      <c r="C13" s="3" t="s">
        <v>146</v>
      </c>
      <c r="D13" s="3">
        <v>1</v>
      </c>
      <c r="E13" s="4">
        <v>0</v>
      </c>
      <c r="F13" s="4">
        <v>600</v>
      </c>
      <c r="G13" s="20">
        <f t="shared" si="0"/>
        <v>600</v>
      </c>
      <c r="H13" s="25">
        <v>0</v>
      </c>
      <c r="I13" s="4">
        <v>25</v>
      </c>
      <c r="J13" s="19">
        <f t="shared" si="1"/>
        <v>575</v>
      </c>
      <c r="K13" s="3" t="s">
        <v>12</v>
      </c>
      <c r="L13" s="3" t="s">
        <v>13</v>
      </c>
    </row>
    <row r="14" spans="1:12" x14ac:dyDescent="0.25">
      <c r="A14" s="16">
        <v>46126</v>
      </c>
      <c r="B14" s="3" t="s">
        <v>14</v>
      </c>
      <c r="C14" s="3" t="s">
        <v>146</v>
      </c>
      <c r="D14" s="3">
        <v>1</v>
      </c>
      <c r="E14" s="23">
        <v>0</v>
      </c>
      <c r="F14" s="4">
        <v>600</v>
      </c>
      <c r="G14" s="20">
        <f t="shared" si="0"/>
        <v>600</v>
      </c>
      <c r="H14" s="25">
        <v>0</v>
      </c>
      <c r="I14" s="4">
        <v>25</v>
      </c>
      <c r="J14" s="19">
        <f t="shared" si="1"/>
        <v>575</v>
      </c>
      <c r="K14" s="3" t="s">
        <v>12</v>
      </c>
      <c r="L14" s="3" t="s">
        <v>13</v>
      </c>
    </row>
    <row r="15" spans="1:12" x14ac:dyDescent="0.25">
      <c r="A15" s="16">
        <v>46127</v>
      </c>
      <c r="B15" s="3" t="s">
        <v>147</v>
      </c>
      <c r="C15" s="3" t="s">
        <v>30</v>
      </c>
      <c r="D15" s="3">
        <v>1</v>
      </c>
      <c r="E15" s="4">
        <v>0</v>
      </c>
      <c r="F15" s="4">
        <v>850</v>
      </c>
      <c r="G15" s="20">
        <f t="shared" si="0"/>
        <v>850</v>
      </c>
      <c r="H15" s="25">
        <v>0</v>
      </c>
      <c r="I15" s="4">
        <v>250</v>
      </c>
      <c r="J15" s="19">
        <f t="shared" si="1"/>
        <v>600</v>
      </c>
      <c r="K15" s="3" t="s">
        <v>12</v>
      </c>
      <c r="L15" s="3" t="s">
        <v>13</v>
      </c>
    </row>
    <row r="16" spans="1:12" x14ac:dyDescent="0.25">
      <c r="A16" s="16">
        <v>46128</v>
      </c>
      <c r="B16" s="3" t="s">
        <v>148</v>
      </c>
      <c r="C16" s="3" t="s">
        <v>86</v>
      </c>
      <c r="D16" s="3">
        <v>1</v>
      </c>
      <c r="E16" s="4">
        <v>286.79000000000002</v>
      </c>
      <c r="F16" s="4">
        <v>1360</v>
      </c>
      <c r="G16" s="20">
        <f t="shared" si="0"/>
        <v>1360</v>
      </c>
      <c r="H16" s="25">
        <v>0</v>
      </c>
      <c r="I16" s="4">
        <v>200</v>
      </c>
      <c r="J16" s="19">
        <f t="shared" si="1"/>
        <v>873.21</v>
      </c>
      <c r="K16" s="3" t="s">
        <v>12</v>
      </c>
      <c r="L16" s="3" t="s">
        <v>16</v>
      </c>
    </row>
    <row r="17" spans="1:12" x14ac:dyDescent="0.25">
      <c r="A17" s="16">
        <v>46129</v>
      </c>
      <c r="B17" s="3" t="s">
        <v>149</v>
      </c>
      <c r="C17" s="3" t="s">
        <v>150</v>
      </c>
      <c r="D17" s="3">
        <v>1</v>
      </c>
      <c r="E17" s="4">
        <v>0</v>
      </c>
      <c r="F17" s="4">
        <v>350</v>
      </c>
      <c r="G17" s="20">
        <f t="shared" si="0"/>
        <v>350</v>
      </c>
      <c r="H17" s="25">
        <v>0</v>
      </c>
      <c r="I17" s="4">
        <v>50</v>
      </c>
      <c r="J17" s="19">
        <f t="shared" si="1"/>
        <v>300</v>
      </c>
      <c r="K17" s="3" t="s">
        <v>12</v>
      </c>
      <c r="L17" s="3" t="s">
        <v>16</v>
      </c>
    </row>
    <row r="18" spans="1:12" x14ac:dyDescent="0.25">
      <c r="A18" s="16">
        <v>46130</v>
      </c>
      <c r="B18" s="3" t="s">
        <v>140</v>
      </c>
      <c r="C18" s="3" t="s">
        <v>151</v>
      </c>
      <c r="D18" s="3">
        <v>2</v>
      </c>
      <c r="E18" s="4">
        <v>547.1</v>
      </c>
      <c r="F18" s="4">
        <v>1200</v>
      </c>
      <c r="G18" s="20">
        <f t="shared" si="0"/>
        <v>2400</v>
      </c>
      <c r="H18" s="25">
        <f>SUM(D18*E18)</f>
        <v>1094.2</v>
      </c>
      <c r="I18" s="4">
        <v>400</v>
      </c>
      <c r="J18" s="19">
        <f t="shared" si="1"/>
        <v>358.69999999999993</v>
      </c>
      <c r="K18" s="3" t="s">
        <v>12</v>
      </c>
      <c r="L18" s="3" t="s">
        <v>13</v>
      </c>
    </row>
    <row r="19" spans="1:12" x14ac:dyDescent="0.25">
      <c r="A19" s="16">
        <v>46131</v>
      </c>
      <c r="B19" s="3" t="s">
        <v>140</v>
      </c>
      <c r="C19" s="3" t="s">
        <v>152</v>
      </c>
      <c r="D19" s="3">
        <v>1</v>
      </c>
      <c r="E19" s="4">
        <v>368.8</v>
      </c>
      <c r="F19" s="4">
        <v>600</v>
      </c>
      <c r="G19" s="20">
        <f t="shared" si="0"/>
        <v>600</v>
      </c>
      <c r="H19" s="25">
        <v>368.8</v>
      </c>
      <c r="I19" s="4">
        <v>125</v>
      </c>
      <c r="J19" s="19">
        <f>SUM(G19-H19-I19)</f>
        <v>106.19999999999999</v>
      </c>
      <c r="K19" s="3" t="s">
        <v>12</v>
      </c>
      <c r="L19" s="3" t="s">
        <v>13</v>
      </c>
    </row>
    <row r="20" spans="1:12" x14ac:dyDescent="0.25">
      <c r="A20" s="16">
        <v>46131</v>
      </c>
      <c r="B20" s="3" t="s">
        <v>153</v>
      </c>
      <c r="C20" s="3" t="s">
        <v>30</v>
      </c>
      <c r="D20" s="3">
        <v>1</v>
      </c>
      <c r="E20" s="4">
        <v>0</v>
      </c>
      <c r="F20" s="4">
        <v>850</v>
      </c>
      <c r="G20" s="20">
        <f t="shared" si="0"/>
        <v>850</v>
      </c>
      <c r="H20" s="25">
        <v>0</v>
      </c>
      <c r="I20" s="4">
        <v>250</v>
      </c>
      <c r="J20" s="19">
        <f t="shared" si="1"/>
        <v>600</v>
      </c>
      <c r="K20" s="3" t="s">
        <v>12</v>
      </c>
      <c r="L20" s="3" t="s">
        <v>16</v>
      </c>
    </row>
    <row r="21" spans="1:12" x14ac:dyDescent="0.25">
      <c r="A21" s="16">
        <v>46131</v>
      </c>
      <c r="B21" s="3" t="s">
        <v>154</v>
      </c>
      <c r="C21" s="3" t="s">
        <v>155</v>
      </c>
      <c r="D21" s="3">
        <v>4</v>
      </c>
      <c r="E21" s="4">
        <v>540.28</v>
      </c>
      <c r="F21" s="4">
        <v>900</v>
      </c>
      <c r="G21" s="20">
        <f t="shared" si="0"/>
        <v>3600</v>
      </c>
      <c r="H21" s="25">
        <f>SUM(D21*E21)</f>
        <v>2161.12</v>
      </c>
      <c r="I21" s="4">
        <v>0</v>
      </c>
      <c r="J21" s="19">
        <f t="shared" si="1"/>
        <v>898.60000000000014</v>
      </c>
      <c r="K21" s="3" t="s">
        <v>12</v>
      </c>
      <c r="L21" s="3" t="s">
        <v>16</v>
      </c>
    </row>
    <row r="22" spans="1:12" x14ac:dyDescent="0.25">
      <c r="A22" s="16">
        <v>46132</v>
      </c>
      <c r="B22" s="3" t="s">
        <v>156</v>
      </c>
      <c r="C22" s="3" t="s">
        <v>157</v>
      </c>
      <c r="D22" s="3">
        <v>4</v>
      </c>
      <c r="E22" s="4">
        <v>119.54</v>
      </c>
      <c r="F22" s="4">
        <v>325</v>
      </c>
      <c r="G22" s="20">
        <f t="shared" si="0"/>
        <v>1300</v>
      </c>
      <c r="H22" s="25">
        <f>SUM(D22*E22)</f>
        <v>478.16</v>
      </c>
      <c r="I22" s="4">
        <v>0</v>
      </c>
      <c r="J22" s="19">
        <f t="shared" si="1"/>
        <v>702.3</v>
      </c>
      <c r="K22" s="3" t="s">
        <v>12</v>
      </c>
      <c r="L22" s="3" t="s">
        <v>16</v>
      </c>
    </row>
    <row r="23" spans="1:12" x14ac:dyDescent="0.25">
      <c r="A23" s="16">
        <v>46133</v>
      </c>
      <c r="B23" s="3" t="s">
        <v>168</v>
      </c>
      <c r="C23" s="3" t="s">
        <v>30</v>
      </c>
      <c r="D23" s="3">
        <v>1</v>
      </c>
      <c r="E23" s="4">
        <v>0</v>
      </c>
      <c r="F23" s="4">
        <v>0</v>
      </c>
      <c r="G23" s="20">
        <v>850</v>
      </c>
      <c r="H23" s="25">
        <v>0</v>
      </c>
      <c r="I23" s="4">
        <v>250</v>
      </c>
      <c r="J23" s="19">
        <v>600</v>
      </c>
      <c r="K23" s="3" t="s">
        <v>12</v>
      </c>
      <c r="L23" s="3" t="s">
        <v>16</v>
      </c>
    </row>
    <row r="24" spans="1:12" x14ac:dyDescent="0.25">
      <c r="A24" s="16">
        <v>46134</v>
      </c>
      <c r="B24" s="3" t="s">
        <v>14</v>
      </c>
      <c r="C24" s="3" t="s">
        <v>30</v>
      </c>
      <c r="D24" s="3">
        <v>1</v>
      </c>
      <c r="E24" s="4">
        <v>0</v>
      </c>
      <c r="F24" s="4">
        <v>0</v>
      </c>
      <c r="G24" s="20">
        <v>750</v>
      </c>
      <c r="H24" s="25">
        <v>0</v>
      </c>
      <c r="I24" s="4">
        <v>250</v>
      </c>
      <c r="J24" s="19">
        <v>500</v>
      </c>
      <c r="K24" s="3" t="s">
        <v>12</v>
      </c>
      <c r="L24" s="3" t="s">
        <v>13</v>
      </c>
    </row>
    <row r="25" spans="1:12" x14ac:dyDescent="0.25">
      <c r="A25" s="16">
        <v>46135</v>
      </c>
      <c r="B25" s="3" t="s">
        <v>148</v>
      </c>
      <c r="C25" s="3" t="s">
        <v>86</v>
      </c>
      <c r="D25" s="3">
        <v>1</v>
      </c>
      <c r="E25" s="4">
        <v>286.79000000000002</v>
      </c>
      <c r="F25" s="4">
        <v>1400</v>
      </c>
      <c r="G25" s="20">
        <f t="shared" si="0"/>
        <v>1400</v>
      </c>
      <c r="H25" s="4">
        <v>286.79000000000002</v>
      </c>
      <c r="I25" s="4">
        <v>200</v>
      </c>
      <c r="J25" s="19">
        <f>SUM(G25-H25-I25)</f>
        <v>913.21</v>
      </c>
      <c r="K25" s="3" t="s">
        <v>12</v>
      </c>
      <c r="L25" s="3" t="s">
        <v>16</v>
      </c>
    </row>
    <row r="26" spans="1:12" x14ac:dyDescent="0.25">
      <c r="A26" s="16">
        <v>46135</v>
      </c>
      <c r="B26" s="3" t="s">
        <v>162</v>
      </c>
      <c r="C26" s="3" t="s">
        <v>163</v>
      </c>
      <c r="D26" s="3">
        <v>1</v>
      </c>
      <c r="E26" s="4">
        <v>0</v>
      </c>
      <c r="F26" s="4">
        <v>750</v>
      </c>
      <c r="G26" s="20">
        <f t="shared" si="0"/>
        <v>750</v>
      </c>
      <c r="H26" s="25">
        <v>500</v>
      </c>
      <c r="I26" s="4">
        <v>0</v>
      </c>
      <c r="J26" s="19">
        <f>SUM(G26-H26)</f>
        <v>250</v>
      </c>
      <c r="K26" s="3" t="s">
        <v>12</v>
      </c>
      <c r="L26" s="3" t="s">
        <v>13</v>
      </c>
    </row>
    <row r="27" spans="1:12" x14ac:dyDescent="0.25">
      <c r="A27" s="16">
        <v>46137</v>
      </c>
      <c r="B27" s="3" t="s">
        <v>159</v>
      </c>
      <c r="C27" s="3" t="s">
        <v>160</v>
      </c>
      <c r="D27" s="3">
        <v>1</v>
      </c>
      <c r="E27" s="4">
        <v>0</v>
      </c>
      <c r="F27" s="4">
        <v>200</v>
      </c>
      <c r="G27" s="20">
        <f t="shared" si="0"/>
        <v>200</v>
      </c>
      <c r="H27" s="25">
        <v>0</v>
      </c>
      <c r="I27" s="4">
        <v>100</v>
      </c>
      <c r="J27" s="19">
        <f t="shared" si="1"/>
        <v>100</v>
      </c>
      <c r="K27" s="3" t="s">
        <v>12</v>
      </c>
      <c r="L27" s="3" t="s">
        <v>16</v>
      </c>
    </row>
    <row r="28" spans="1:12" x14ac:dyDescent="0.25">
      <c r="A28" s="16">
        <v>46138</v>
      </c>
      <c r="B28" s="3" t="s">
        <v>90</v>
      </c>
      <c r="C28" s="3" t="s">
        <v>30</v>
      </c>
      <c r="D28" s="3">
        <v>1</v>
      </c>
      <c r="E28" s="23">
        <v>0</v>
      </c>
      <c r="F28" s="4">
        <v>850</v>
      </c>
      <c r="G28" s="20">
        <f t="shared" si="0"/>
        <v>850</v>
      </c>
      <c r="H28" s="25">
        <v>0</v>
      </c>
      <c r="I28" s="4">
        <v>250</v>
      </c>
      <c r="J28" s="19">
        <f t="shared" si="1"/>
        <v>600</v>
      </c>
      <c r="K28" s="3" t="s">
        <v>12</v>
      </c>
      <c r="L28" s="3" t="s">
        <v>16</v>
      </c>
    </row>
    <row r="29" spans="1:12" x14ac:dyDescent="0.25">
      <c r="A29" s="16">
        <v>46138</v>
      </c>
      <c r="B29" s="3" t="s">
        <v>164</v>
      </c>
      <c r="C29" s="3" t="s">
        <v>165</v>
      </c>
      <c r="D29" s="3">
        <v>1</v>
      </c>
      <c r="E29" s="4">
        <v>0</v>
      </c>
      <c r="F29" s="4">
        <v>235</v>
      </c>
      <c r="G29" s="20">
        <f t="shared" si="0"/>
        <v>235</v>
      </c>
      <c r="H29" s="25">
        <v>0</v>
      </c>
      <c r="I29" s="4">
        <v>75</v>
      </c>
      <c r="J29" s="19">
        <f>SUM(G29-I29)</f>
        <v>160</v>
      </c>
      <c r="K29" s="3" t="s">
        <v>12</v>
      </c>
      <c r="L29" s="3" t="s">
        <v>13</v>
      </c>
    </row>
    <row r="30" spans="1:12" x14ac:dyDescent="0.25">
      <c r="A30" s="16">
        <v>46142</v>
      </c>
      <c r="B30" s="3" t="s">
        <v>67</v>
      </c>
      <c r="C30" s="3" t="s">
        <v>141</v>
      </c>
      <c r="D30" s="3">
        <v>20</v>
      </c>
      <c r="E30" s="4">
        <v>13.62</v>
      </c>
      <c r="F30" s="4">
        <v>21</v>
      </c>
      <c r="G30" s="20">
        <f>SUM(D30*F30)</f>
        <v>420</v>
      </c>
      <c r="H30" s="25">
        <f>SUM(D30*E30)</f>
        <v>272.39999999999998</v>
      </c>
      <c r="I30" s="4">
        <v>25</v>
      </c>
      <c r="J30" s="19">
        <f>SUM(G30-H30-I30)</f>
        <v>122.60000000000002</v>
      </c>
      <c r="K30" s="3" t="s">
        <v>12</v>
      </c>
      <c r="L30" s="3" t="s">
        <v>13</v>
      </c>
    </row>
    <row r="31" spans="1:12" x14ac:dyDescent="0.25">
      <c r="A31" s="16">
        <v>46142</v>
      </c>
      <c r="B31" s="3" t="s">
        <v>67</v>
      </c>
      <c r="C31" s="3" t="s">
        <v>28</v>
      </c>
      <c r="D31" s="3">
        <v>1</v>
      </c>
      <c r="E31" s="23">
        <v>13249.57</v>
      </c>
      <c r="F31" s="4">
        <v>0</v>
      </c>
      <c r="G31" s="20">
        <v>21500</v>
      </c>
      <c r="H31" s="25">
        <v>0</v>
      </c>
      <c r="I31" s="4">
        <v>2000</v>
      </c>
      <c r="J31" s="19">
        <f>SUM(G31-I31-E31)</f>
        <v>6250.43</v>
      </c>
      <c r="K31" s="3" t="s">
        <v>12</v>
      </c>
      <c r="L31" s="3" t="s">
        <v>13</v>
      </c>
    </row>
    <row r="32" spans="1:12" x14ac:dyDescent="0.25">
      <c r="A32" s="16"/>
      <c r="B32" s="3"/>
      <c r="C32" s="3"/>
      <c r="D32" s="3"/>
      <c r="E32" s="4"/>
      <c r="F32" s="4"/>
      <c r="G32" s="20"/>
      <c r="H32" s="25"/>
      <c r="I32" s="4"/>
      <c r="J32" s="19"/>
      <c r="K32" s="3"/>
    </row>
    <row r="33" spans="1:11" x14ac:dyDescent="0.25">
      <c r="A33" s="16"/>
      <c r="B33" s="3"/>
      <c r="C33" s="3"/>
      <c r="D33" s="3"/>
      <c r="E33" s="4"/>
      <c r="F33" s="4"/>
      <c r="G33" s="20"/>
      <c r="H33" s="25"/>
      <c r="I33" s="4"/>
      <c r="J33" s="19"/>
      <c r="K33" s="3"/>
    </row>
    <row r="34" spans="1:11" x14ac:dyDescent="0.25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</row>
    <row r="35" spans="1:11" x14ac:dyDescent="0.25">
      <c r="A35" s="17"/>
      <c r="C35" s="185" t="s">
        <v>19</v>
      </c>
      <c r="D35" s="186"/>
      <c r="E35" s="186"/>
      <c r="F35" s="187"/>
      <c r="G35" s="56">
        <f>SUM(G2:G33)</f>
        <v>70877</v>
      </c>
      <c r="H35" s="27">
        <f>SUM(H2:H33)</f>
        <v>18214.47</v>
      </c>
      <c r="I35" s="27">
        <f>SUM(I2:I33)</f>
        <v>7449</v>
      </c>
      <c r="J35" s="27">
        <f>SUM(J2:J33)</f>
        <v>29664.889999999996</v>
      </c>
    </row>
    <row r="36" spans="1:11" x14ac:dyDescent="0.25">
      <c r="A36" s="17"/>
      <c r="D36" s="10"/>
      <c r="E36" s="10"/>
      <c r="F36" s="10"/>
      <c r="G36" s="188" t="s">
        <v>20</v>
      </c>
      <c r="H36" s="188"/>
      <c r="I36" s="188"/>
      <c r="J36" s="28">
        <v>5700</v>
      </c>
    </row>
    <row r="37" spans="1:11" x14ac:dyDescent="0.25">
      <c r="A37" s="17"/>
      <c r="D37" s="12"/>
      <c r="E37" s="12"/>
      <c r="F37" s="12"/>
      <c r="G37" s="188" t="s">
        <v>21</v>
      </c>
      <c r="H37" s="188"/>
      <c r="I37" s="188"/>
      <c r="J37" s="28">
        <v>16125</v>
      </c>
    </row>
    <row r="38" spans="1:11" x14ac:dyDescent="0.25">
      <c r="A38" s="17"/>
      <c r="D38" s="12"/>
      <c r="E38" s="12"/>
      <c r="F38" s="12"/>
      <c r="G38" s="192" t="s">
        <v>169</v>
      </c>
      <c r="H38" s="193"/>
      <c r="I38" s="194"/>
      <c r="J38" s="28">
        <v>1225.31</v>
      </c>
    </row>
    <row r="39" spans="1:11" x14ac:dyDescent="0.25">
      <c r="A39" s="17"/>
      <c r="D39" s="12"/>
      <c r="E39" s="12"/>
      <c r="F39" s="12"/>
      <c r="G39" s="196" t="s">
        <v>317</v>
      </c>
      <c r="H39" s="197"/>
      <c r="I39" s="198"/>
      <c r="J39" s="110">
        <v>6000</v>
      </c>
    </row>
    <row r="40" spans="1:11" x14ac:dyDescent="0.25">
      <c r="A40" s="17"/>
      <c r="D40" s="12"/>
      <c r="E40" s="12"/>
      <c r="F40" s="12"/>
      <c r="G40" s="188" t="s">
        <v>170</v>
      </c>
      <c r="H40" s="188"/>
      <c r="I40" s="188"/>
      <c r="J40" s="28">
        <v>394</v>
      </c>
    </row>
    <row r="41" spans="1:11" x14ac:dyDescent="0.25">
      <c r="A41" s="17"/>
      <c r="D41" s="12"/>
      <c r="E41" s="12"/>
      <c r="F41" s="12"/>
      <c r="G41" s="188" t="s">
        <v>23</v>
      </c>
      <c r="H41" s="188"/>
      <c r="I41" s="188"/>
      <c r="J41" s="28">
        <v>70</v>
      </c>
    </row>
    <row r="42" spans="1:11" x14ac:dyDescent="0.25">
      <c r="A42" s="17"/>
      <c r="D42" s="189" t="s">
        <v>24</v>
      </c>
      <c r="E42" s="190"/>
      <c r="F42" s="190"/>
      <c r="G42" s="190"/>
      <c r="H42" s="190"/>
      <c r="I42" s="191"/>
      <c r="J42" s="29">
        <f>SUM(J36:J41)</f>
        <v>29514.31</v>
      </c>
    </row>
    <row r="43" spans="1:11" x14ac:dyDescent="0.25">
      <c r="A43" s="17"/>
      <c r="D43" s="182" t="s">
        <v>25</v>
      </c>
      <c r="E43" s="183"/>
      <c r="F43" s="183"/>
      <c r="G43" s="183"/>
      <c r="H43" s="183"/>
      <c r="I43" s="184"/>
      <c r="J43" s="30">
        <f>SUM(J35-J42)</f>
        <v>150.57999999999447</v>
      </c>
    </row>
    <row r="44" spans="1:11" ht="15.75" thickBot="1" x14ac:dyDescent="0.3"/>
    <row r="45" spans="1:11" ht="15.75" thickBot="1" x14ac:dyDescent="0.3">
      <c r="C45" s="36" t="s">
        <v>101</v>
      </c>
      <c r="D45" s="37" t="s">
        <v>105</v>
      </c>
      <c r="E45" s="37" t="s">
        <v>102</v>
      </c>
      <c r="F45" s="37" t="s">
        <v>104</v>
      </c>
      <c r="G45" s="37" t="s">
        <v>191</v>
      </c>
      <c r="H45" s="37" t="s">
        <v>192</v>
      </c>
      <c r="I45" s="38" t="s">
        <v>98</v>
      </c>
      <c r="J45" s="32"/>
      <c r="K45" s="32"/>
    </row>
    <row r="46" spans="1:11" x14ac:dyDescent="0.25">
      <c r="C46" s="39" t="s">
        <v>100</v>
      </c>
      <c r="D46" s="41" t="s">
        <v>109</v>
      </c>
      <c r="E46" s="46">
        <v>75</v>
      </c>
      <c r="F46" s="83" t="s">
        <v>124</v>
      </c>
      <c r="G46" s="3">
        <v>13</v>
      </c>
      <c r="H46" s="83">
        <v>1</v>
      </c>
      <c r="I46" s="45">
        <v>-5</v>
      </c>
      <c r="J46" s="32"/>
      <c r="K46" s="32"/>
    </row>
    <row r="47" spans="1:11" x14ac:dyDescent="0.25">
      <c r="C47" s="31" t="s">
        <v>106</v>
      </c>
      <c r="D47" s="3" t="s">
        <v>110</v>
      </c>
      <c r="E47" s="47">
        <v>24</v>
      </c>
      <c r="F47" s="84" t="s">
        <v>117</v>
      </c>
      <c r="G47" s="3">
        <v>1</v>
      </c>
      <c r="H47" s="84">
        <v>0</v>
      </c>
      <c r="I47" s="44">
        <v>-1</v>
      </c>
      <c r="J47" s="32"/>
      <c r="K47" s="32"/>
    </row>
    <row r="48" spans="1:11" x14ac:dyDescent="0.25">
      <c r="C48" s="31" t="s">
        <v>106</v>
      </c>
      <c r="D48" s="3" t="s">
        <v>111</v>
      </c>
      <c r="E48" s="47">
        <v>5</v>
      </c>
      <c r="F48" s="84" t="s">
        <v>120</v>
      </c>
      <c r="G48" s="3">
        <v>0</v>
      </c>
      <c r="H48" s="84">
        <v>0</v>
      </c>
      <c r="I48" s="44">
        <v>0</v>
      </c>
      <c r="J48" s="32"/>
      <c r="K48" s="32"/>
    </row>
    <row r="49" spans="3:11" x14ac:dyDescent="0.25">
      <c r="C49" s="31" t="s">
        <v>100</v>
      </c>
      <c r="D49" s="3" t="s">
        <v>112</v>
      </c>
      <c r="E49" s="47">
        <v>3</v>
      </c>
      <c r="F49" s="84" t="s">
        <v>120</v>
      </c>
      <c r="G49" s="3">
        <v>0</v>
      </c>
      <c r="H49" s="84">
        <v>0</v>
      </c>
      <c r="I49" s="44">
        <v>0</v>
      </c>
      <c r="J49" s="32"/>
      <c r="K49" s="32"/>
    </row>
    <row r="50" spans="3:11" x14ac:dyDescent="0.25">
      <c r="C50" s="31" t="s">
        <v>66</v>
      </c>
      <c r="D50" s="3" t="s">
        <v>112</v>
      </c>
      <c r="E50" s="47">
        <v>10</v>
      </c>
      <c r="F50" s="84" t="s">
        <v>120</v>
      </c>
      <c r="G50" s="3">
        <v>1</v>
      </c>
      <c r="H50" s="84">
        <v>0</v>
      </c>
      <c r="I50" s="45">
        <v>0</v>
      </c>
      <c r="J50" s="32"/>
      <c r="K50" s="32"/>
    </row>
    <row r="51" spans="3:11" x14ac:dyDescent="0.25">
      <c r="C51" s="31" t="s">
        <v>99</v>
      </c>
      <c r="D51" s="3" t="s">
        <v>113</v>
      </c>
      <c r="E51" s="47">
        <v>150</v>
      </c>
      <c r="F51" s="84" t="s">
        <v>119</v>
      </c>
      <c r="G51" s="3">
        <v>17</v>
      </c>
      <c r="H51" s="84" t="s">
        <v>134</v>
      </c>
      <c r="I51" s="44">
        <v>-8</v>
      </c>
      <c r="J51" s="32"/>
      <c r="K51" s="32"/>
    </row>
    <row r="52" spans="3:11" x14ac:dyDescent="0.25">
      <c r="C52" s="31" t="s">
        <v>99</v>
      </c>
      <c r="D52" s="3" t="s">
        <v>114</v>
      </c>
      <c r="E52" s="47">
        <v>100</v>
      </c>
      <c r="F52" s="84" t="s">
        <v>121</v>
      </c>
      <c r="G52" s="3">
        <v>10</v>
      </c>
      <c r="H52" s="84">
        <v>4</v>
      </c>
      <c r="I52" s="44">
        <v>-4</v>
      </c>
      <c r="J52" s="32"/>
      <c r="K52" s="32"/>
    </row>
    <row r="53" spans="3:11" x14ac:dyDescent="0.25">
      <c r="C53" s="31" t="s">
        <v>99</v>
      </c>
      <c r="D53" s="3" t="s">
        <v>115</v>
      </c>
      <c r="E53" s="47">
        <v>100</v>
      </c>
      <c r="F53" s="84" t="s">
        <v>121</v>
      </c>
      <c r="G53" s="3">
        <v>25</v>
      </c>
      <c r="H53" s="84">
        <v>16</v>
      </c>
      <c r="I53" s="44" t="s">
        <v>232</v>
      </c>
      <c r="J53" s="32"/>
      <c r="K53" s="32"/>
    </row>
    <row r="54" spans="3:11" x14ac:dyDescent="0.25">
      <c r="C54" s="31" t="s">
        <v>99</v>
      </c>
      <c r="D54" s="3" t="s">
        <v>116</v>
      </c>
      <c r="E54" s="47">
        <v>100</v>
      </c>
      <c r="F54" s="84" t="s">
        <v>121</v>
      </c>
      <c r="G54" s="3">
        <v>5</v>
      </c>
      <c r="H54" s="84">
        <v>0</v>
      </c>
      <c r="I54" s="44">
        <v>0</v>
      </c>
      <c r="J54" s="32"/>
      <c r="K54" s="32"/>
    </row>
    <row r="55" spans="3:11" x14ac:dyDescent="0.25">
      <c r="C55" s="31" t="s">
        <v>107</v>
      </c>
      <c r="D55" s="3"/>
      <c r="E55" s="47">
        <v>18</v>
      </c>
      <c r="F55" s="84" t="s">
        <v>123</v>
      </c>
      <c r="G55" s="3">
        <v>4</v>
      </c>
      <c r="H55" s="84" t="s">
        <v>125</v>
      </c>
      <c r="I55" s="44">
        <v>-1</v>
      </c>
      <c r="J55" s="32"/>
      <c r="K55" s="32"/>
    </row>
    <row r="56" spans="3:11" x14ac:dyDescent="0.25">
      <c r="C56" s="72" t="s">
        <v>193</v>
      </c>
      <c r="D56" s="73"/>
      <c r="E56" s="74">
        <v>210</v>
      </c>
      <c r="F56" s="85">
        <v>17</v>
      </c>
      <c r="G56" s="73">
        <v>34</v>
      </c>
      <c r="H56" s="85">
        <v>13</v>
      </c>
      <c r="I56" s="75"/>
      <c r="J56" s="32"/>
      <c r="K56" s="32"/>
    </row>
    <row r="57" spans="3:11" ht="15.75" thickBot="1" x14ac:dyDescent="0.3">
      <c r="C57" s="40" t="s">
        <v>108</v>
      </c>
      <c r="D57" s="42" t="s">
        <v>110</v>
      </c>
      <c r="E57" s="48">
        <v>25</v>
      </c>
      <c r="F57" s="86" t="s">
        <v>123</v>
      </c>
      <c r="G57" s="42">
        <v>34</v>
      </c>
      <c r="H57" s="86">
        <v>0</v>
      </c>
      <c r="I57" s="43">
        <v>0</v>
      </c>
    </row>
  </sheetData>
  <autoFilter ref="A1:K31" xr:uid="{89D67C24-B10E-4AEC-8089-26D709C393D5}"/>
  <mergeCells count="10">
    <mergeCell ref="A34:K34"/>
    <mergeCell ref="D43:I43"/>
    <mergeCell ref="C35:F35"/>
    <mergeCell ref="G36:I36"/>
    <mergeCell ref="G37:I37"/>
    <mergeCell ref="G40:I40"/>
    <mergeCell ref="G41:I41"/>
    <mergeCell ref="D42:I42"/>
    <mergeCell ref="G38:I38"/>
    <mergeCell ref="G39:I39"/>
  </mergeCells>
  <conditionalFormatting sqref="K2:K27">
    <cfRule type="containsText" dxfId="13" priority="1" operator="containsText" text="Paid">
      <formula>NOT(ISERROR(SEARCH("Paid",K2)))</formula>
    </cfRule>
    <cfRule type="containsText" dxfId="12" priority="2" operator="containsText" text="Overdue">
      <formula>NOT(ISERROR(SEARCH("Overdue",K2)))</formula>
    </cfRule>
    <cfRule type="containsText" dxfId="11" priority="3" operator="containsText" text="Pending">
      <formula>NOT(ISERROR(SEARCH("Pending",K2)))</formula>
    </cfRule>
  </conditionalFormatting>
  <conditionalFormatting sqref="L2:L31">
    <cfRule type="containsText" dxfId="10" priority="4" operator="containsText" text="Paid">
      <formula>NOT(ISERROR(SEARCH("Paid",L2)))</formula>
    </cfRule>
    <cfRule type="containsText" dxfId="9" priority="5" operator="containsText" text="Unpaid">
      <formula>NOT(ISERROR(SEARCH("Unpaid",L2)))</formula>
    </cfRule>
  </conditionalFormatting>
  <dataValidations count="2">
    <dataValidation type="list" allowBlank="1" showInputMessage="1" showErrorMessage="1" promptTitle="Invoice Status" prompt="Choose from the list" sqref="K2:K27" xr:uid="{C0021973-E255-4E29-BBBC-807E3620C4C4}">
      <formula1>"Pending,Sent,Paid,Overdue"</formula1>
    </dataValidation>
    <dataValidation type="list" allowBlank="1" showInputMessage="1" showErrorMessage="1" promptTitle="Payment Status" prompt="Choose from the list" sqref="L2:L31" xr:uid="{788EC796-A8EC-4ECF-9B08-FBBB0A6597D2}">
      <formula1>"Unpaid,Partial,Paid"</formula1>
    </dataValidation>
  </dataValidations>
  <pageMargins left="0.25" right="0.25" top="0.75" bottom="0.75" header="0.3" footer="0.3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4B64-73E7-4299-BD0B-D40F43DE2DA9}">
  <sheetPr>
    <pageSetUpPr fitToPage="1"/>
  </sheetPr>
  <dimension ref="A1:L58"/>
  <sheetViews>
    <sheetView zoomScaleNormal="100" workbookViewId="0">
      <pane ySplit="1" topLeftCell="A2" activePane="bottomLeft" state="frozen"/>
      <selection pane="bottomLeft" activeCell="L48" sqref="L48"/>
    </sheetView>
  </sheetViews>
  <sheetFormatPr defaultRowHeight="15" x14ac:dyDescent="0.25"/>
  <cols>
    <col min="2" max="2" width="29.5703125" customWidth="1"/>
    <col min="3" max="3" width="35" customWidth="1"/>
    <col min="4" max="4" width="15.5703125" customWidth="1"/>
    <col min="5" max="5" width="19.7109375" customWidth="1"/>
    <col min="6" max="6" width="18" customWidth="1"/>
    <col min="7" max="7" width="17.7109375" customWidth="1"/>
    <col min="8" max="8" width="15.140625" customWidth="1"/>
    <col min="9" max="9" width="20.28515625" customWidth="1"/>
    <col min="10" max="11" width="18.7109375" customWidth="1"/>
    <col min="12" max="12" width="14.42578125" customWidth="1"/>
  </cols>
  <sheetData>
    <row r="1" spans="1:12" ht="15.75" thickBot="1" x14ac:dyDescent="0.3">
      <c r="A1" s="66" t="s">
        <v>0</v>
      </c>
      <c r="B1" s="67" t="s">
        <v>9</v>
      </c>
      <c r="C1" s="67" t="s">
        <v>1</v>
      </c>
      <c r="D1" s="67" t="s">
        <v>2</v>
      </c>
      <c r="E1" s="68" t="s">
        <v>3</v>
      </c>
      <c r="F1" s="68" t="s">
        <v>4</v>
      </c>
      <c r="G1" s="69" t="s">
        <v>188</v>
      </c>
      <c r="H1" s="70" t="s">
        <v>6</v>
      </c>
      <c r="I1" s="68" t="s">
        <v>7</v>
      </c>
      <c r="J1" s="71" t="s">
        <v>8</v>
      </c>
      <c r="K1" s="87" t="s">
        <v>10</v>
      </c>
      <c r="L1" s="88" t="s">
        <v>11</v>
      </c>
    </row>
    <row r="2" spans="1:12" x14ac:dyDescent="0.25">
      <c r="A2" s="61">
        <v>46144</v>
      </c>
      <c r="B2" s="41" t="s">
        <v>74</v>
      </c>
      <c r="C2" s="41" t="s">
        <v>30</v>
      </c>
      <c r="D2" s="41">
        <v>1</v>
      </c>
      <c r="E2" s="58">
        <v>0</v>
      </c>
      <c r="F2" s="58">
        <v>900</v>
      </c>
      <c r="G2" s="58">
        <v>900</v>
      </c>
      <c r="H2" s="59">
        <v>0</v>
      </c>
      <c r="I2" s="58">
        <v>250</v>
      </c>
      <c r="J2" s="60">
        <f>SUM(G2-I2-H2)</f>
        <v>650</v>
      </c>
      <c r="K2" s="3" t="s">
        <v>12</v>
      </c>
      <c r="L2" s="89" t="s">
        <v>13</v>
      </c>
    </row>
    <row r="3" spans="1:12" x14ac:dyDescent="0.25">
      <c r="A3" s="61">
        <v>46145</v>
      </c>
      <c r="B3" s="3" t="s">
        <v>171</v>
      </c>
      <c r="C3" s="3" t="s">
        <v>172</v>
      </c>
      <c r="D3" s="3">
        <v>10</v>
      </c>
      <c r="E3" s="4">
        <v>905.52</v>
      </c>
      <c r="F3" s="4">
        <v>1400</v>
      </c>
      <c r="G3" s="4">
        <v>14000</v>
      </c>
      <c r="H3" s="25">
        <f>SUM(D3*E3)</f>
        <v>9055.2000000000007</v>
      </c>
      <c r="I3" s="25">
        <v>0</v>
      </c>
      <c r="J3" s="60">
        <f t="shared" ref="J3:J30" si="0">SUM(G3-I3-H3)</f>
        <v>4944.7999999999993</v>
      </c>
      <c r="K3" s="3" t="s">
        <v>12</v>
      </c>
      <c r="L3" s="89" t="s">
        <v>16</v>
      </c>
    </row>
    <row r="4" spans="1:12" x14ac:dyDescent="0.25">
      <c r="A4" s="61">
        <v>46146</v>
      </c>
      <c r="B4" s="3" t="s">
        <v>14</v>
      </c>
      <c r="C4" s="3" t="s">
        <v>173</v>
      </c>
      <c r="D4" s="3">
        <v>1</v>
      </c>
      <c r="E4" s="20">
        <v>296.06</v>
      </c>
      <c r="F4" s="4">
        <v>958</v>
      </c>
      <c r="G4" s="4">
        <v>958</v>
      </c>
      <c r="H4" s="25">
        <f t="shared" ref="H4:H28" si="1">SUM(D4*E4)</f>
        <v>296.06</v>
      </c>
      <c r="I4" s="4">
        <v>200</v>
      </c>
      <c r="J4" s="60">
        <f t="shared" si="0"/>
        <v>461.94</v>
      </c>
      <c r="K4" s="3" t="s">
        <v>12</v>
      </c>
      <c r="L4" s="89" t="s">
        <v>13</v>
      </c>
    </row>
    <row r="5" spans="1:12" x14ac:dyDescent="0.25">
      <c r="A5" s="61">
        <v>46148</v>
      </c>
      <c r="B5" s="3" t="s">
        <v>174</v>
      </c>
      <c r="C5" s="41" t="s">
        <v>30</v>
      </c>
      <c r="D5" s="3">
        <v>1</v>
      </c>
      <c r="E5" s="4">
        <v>0</v>
      </c>
      <c r="F5" s="4">
        <v>850</v>
      </c>
      <c r="G5" s="4">
        <v>850</v>
      </c>
      <c r="H5" s="25">
        <f t="shared" si="1"/>
        <v>0</v>
      </c>
      <c r="I5" s="4">
        <v>250</v>
      </c>
      <c r="J5" s="60">
        <f t="shared" si="0"/>
        <v>600</v>
      </c>
      <c r="K5" s="3" t="s">
        <v>12</v>
      </c>
      <c r="L5" s="44" t="s">
        <v>16</v>
      </c>
    </row>
    <row r="6" spans="1:12" x14ac:dyDescent="0.25">
      <c r="A6" s="61">
        <v>46153</v>
      </c>
      <c r="B6" s="3" t="s">
        <v>175</v>
      </c>
      <c r="C6" s="41" t="s">
        <v>30</v>
      </c>
      <c r="D6" s="3">
        <v>1</v>
      </c>
      <c r="E6" s="4">
        <v>0</v>
      </c>
      <c r="F6" s="4">
        <v>850</v>
      </c>
      <c r="G6" s="4">
        <v>850</v>
      </c>
      <c r="H6" s="25">
        <f t="shared" si="1"/>
        <v>0</v>
      </c>
      <c r="I6" s="4">
        <v>250</v>
      </c>
      <c r="J6" s="60">
        <f t="shared" si="0"/>
        <v>600</v>
      </c>
      <c r="K6" s="3" t="s">
        <v>12</v>
      </c>
      <c r="L6" s="44" t="s">
        <v>16</v>
      </c>
    </row>
    <row r="7" spans="1:12" x14ac:dyDescent="0.25">
      <c r="A7" s="61">
        <v>46153</v>
      </c>
      <c r="B7" s="3" t="s">
        <v>176</v>
      </c>
      <c r="C7" s="3" t="s">
        <v>177</v>
      </c>
      <c r="D7" s="3">
        <v>4</v>
      </c>
      <c r="E7" s="4">
        <v>119.54</v>
      </c>
      <c r="F7" s="4">
        <v>325</v>
      </c>
      <c r="G7" s="4">
        <v>1300</v>
      </c>
      <c r="H7" s="25">
        <f t="shared" si="1"/>
        <v>478.16</v>
      </c>
      <c r="I7" s="4">
        <v>0</v>
      </c>
      <c r="J7" s="60">
        <f t="shared" si="0"/>
        <v>821.83999999999992</v>
      </c>
      <c r="K7" s="3" t="s">
        <v>12</v>
      </c>
      <c r="L7" s="44" t="s">
        <v>16</v>
      </c>
    </row>
    <row r="8" spans="1:12" x14ac:dyDescent="0.25">
      <c r="A8" s="61">
        <v>46156</v>
      </c>
      <c r="B8" s="3" t="s">
        <v>14</v>
      </c>
      <c r="C8" s="41" t="s">
        <v>30</v>
      </c>
      <c r="D8" s="3">
        <v>4</v>
      </c>
      <c r="E8" s="23">
        <v>0</v>
      </c>
      <c r="F8" s="4">
        <v>750</v>
      </c>
      <c r="G8" s="4">
        <f>SUM(D8*F8)</f>
        <v>3000</v>
      </c>
      <c r="H8" s="25">
        <f t="shared" si="1"/>
        <v>0</v>
      </c>
      <c r="I8" s="4">
        <v>1000</v>
      </c>
      <c r="J8" s="60">
        <f t="shared" si="0"/>
        <v>2000</v>
      </c>
      <c r="K8" s="3" t="s">
        <v>12</v>
      </c>
      <c r="L8" s="44" t="s">
        <v>13</v>
      </c>
    </row>
    <row r="9" spans="1:12" x14ac:dyDescent="0.25">
      <c r="A9" s="61">
        <v>46156</v>
      </c>
      <c r="B9" s="3" t="s">
        <v>178</v>
      </c>
      <c r="C9" s="41" t="s">
        <v>30</v>
      </c>
      <c r="D9" s="3">
        <v>1</v>
      </c>
      <c r="E9" s="4">
        <v>0</v>
      </c>
      <c r="F9" s="4">
        <v>850</v>
      </c>
      <c r="G9" s="4">
        <v>850</v>
      </c>
      <c r="H9" s="25">
        <f t="shared" si="1"/>
        <v>0</v>
      </c>
      <c r="I9" s="4">
        <v>250</v>
      </c>
      <c r="J9" s="60">
        <f t="shared" si="0"/>
        <v>600</v>
      </c>
      <c r="K9" s="3" t="s">
        <v>12</v>
      </c>
      <c r="L9" s="44" t="s">
        <v>16</v>
      </c>
    </row>
    <row r="10" spans="1:12" x14ac:dyDescent="0.25">
      <c r="A10" s="61">
        <v>46156</v>
      </c>
      <c r="B10" s="3" t="s">
        <v>179</v>
      </c>
      <c r="C10" s="41" t="s">
        <v>30</v>
      </c>
      <c r="D10" s="3">
        <v>1</v>
      </c>
      <c r="E10" s="4">
        <v>0</v>
      </c>
      <c r="F10" s="4">
        <v>850</v>
      </c>
      <c r="G10" s="4">
        <v>850</v>
      </c>
      <c r="H10" s="25">
        <f t="shared" si="1"/>
        <v>0</v>
      </c>
      <c r="I10" s="4">
        <v>250</v>
      </c>
      <c r="J10" s="60">
        <f t="shared" si="0"/>
        <v>600</v>
      </c>
      <c r="K10" s="3" t="s">
        <v>12</v>
      </c>
      <c r="L10" s="44" t="s">
        <v>13</v>
      </c>
    </row>
    <row r="11" spans="1:12" x14ac:dyDescent="0.25">
      <c r="A11" s="61">
        <v>46156</v>
      </c>
      <c r="B11" s="3" t="s">
        <v>18</v>
      </c>
      <c r="C11" s="41" t="s">
        <v>30</v>
      </c>
      <c r="D11" s="3">
        <v>5</v>
      </c>
      <c r="E11" s="4">
        <v>0</v>
      </c>
      <c r="F11" s="4">
        <v>1900</v>
      </c>
      <c r="G11" s="4">
        <v>9500</v>
      </c>
      <c r="H11" s="25">
        <f t="shared" si="1"/>
        <v>0</v>
      </c>
      <c r="I11" s="4">
        <v>1250</v>
      </c>
      <c r="J11" s="60">
        <f t="shared" si="0"/>
        <v>8250</v>
      </c>
      <c r="K11" s="3" t="s">
        <v>12</v>
      </c>
      <c r="L11" s="44" t="s">
        <v>13</v>
      </c>
    </row>
    <row r="12" spans="1:12" x14ac:dyDescent="0.25">
      <c r="A12" s="61">
        <v>46156</v>
      </c>
      <c r="B12" s="3" t="s">
        <v>180</v>
      </c>
      <c r="C12" s="3" t="s">
        <v>181</v>
      </c>
      <c r="D12" s="3">
        <v>1</v>
      </c>
      <c r="E12" s="4">
        <v>0</v>
      </c>
      <c r="F12" s="4">
        <v>1050</v>
      </c>
      <c r="G12" s="4">
        <v>1050</v>
      </c>
      <c r="H12" s="25">
        <f t="shared" si="1"/>
        <v>0</v>
      </c>
      <c r="I12" s="4">
        <v>400</v>
      </c>
      <c r="J12" s="60">
        <f t="shared" si="0"/>
        <v>650</v>
      </c>
      <c r="K12" s="3" t="s">
        <v>12</v>
      </c>
      <c r="L12" s="44" t="s">
        <v>13</v>
      </c>
    </row>
    <row r="13" spans="1:12" x14ac:dyDescent="0.25">
      <c r="A13" s="61">
        <v>46156</v>
      </c>
      <c r="B13" s="3" t="s">
        <v>92</v>
      </c>
      <c r="C13" s="41" t="s">
        <v>30</v>
      </c>
      <c r="D13" s="3">
        <v>1</v>
      </c>
      <c r="E13" s="4">
        <v>0</v>
      </c>
      <c r="F13" s="4">
        <v>750</v>
      </c>
      <c r="G13" s="4">
        <v>750</v>
      </c>
      <c r="H13" s="25">
        <v>250</v>
      </c>
      <c r="I13" s="4">
        <v>250</v>
      </c>
      <c r="J13" s="60">
        <f t="shared" si="0"/>
        <v>250</v>
      </c>
      <c r="K13" s="3" t="s">
        <v>12</v>
      </c>
      <c r="L13" s="44" t="s">
        <v>16</v>
      </c>
    </row>
    <row r="14" spans="1:12" x14ac:dyDescent="0.25">
      <c r="A14" s="61">
        <v>46156</v>
      </c>
      <c r="B14" s="3" t="s">
        <v>14</v>
      </c>
      <c r="C14" s="41" t="s">
        <v>30</v>
      </c>
      <c r="D14" s="3">
        <v>1</v>
      </c>
      <c r="E14" s="4">
        <v>0</v>
      </c>
      <c r="F14" s="4">
        <v>750</v>
      </c>
      <c r="G14" s="4">
        <v>750</v>
      </c>
      <c r="H14" s="25">
        <f t="shared" si="1"/>
        <v>0</v>
      </c>
      <c r="I14" s="4">
        <v>250</v>
      </c>
      <c r="J14" s="60">
        <f t="shared" si="0"/>
        <v>500</v>
      </c>
      <c r="K14" s="3" t="s">
        <v>12</v>
      </c>
      <c r="L14" s="44" t="s">
        <v>16</v>
      </c>
    </row>
    <row r="15" spans="1:12" x14ac:dyDescent="0.25">
      <c r="A15" s="61">
        <v>46159</v>
      </c>
      <c r="B15" s="3" t="s">
        <v>182</v>
      </c>
      <c r="C15" s="41" t="s">
        <v>30</v>
      </c>
      <c r="D15" s="3">
        <v>1</v>
      </c>
      <c r="E15" s="23">
        <v>0</v>
      </c>
      <c r="F15" s="4">
        <v>750</v>
      </c>
      <c r="G15" s="4">
        <v>750</v>
      </c>
      <c r="H15" s="25">
        <f t="shared" si="1"/>
        <v>0</v>
      </c>
      <c r="I15" s="4">
        <v>250</v>
      </c>
      <c r="J15" s="60">
        <f t="shared" si="0"/>
        <v>500</v>
      </c>
      <c r="K15" s="3" t="s">
        <v>12</v>
      </c>
      <c r="L15" s="44" t="s">
        <v>13</v>
      </c>
    </row>
    <row r="16" spans="1:12" x14ac:dyDescent="0.25">
      <c r="A16" s="61">
        <v>46159</v>
      </c>
      <c r="B16" s="3" t="s">
        <v>80</v>
      </c>
      <c r="C16" s="3" t="s">
        <v>28</v>
      </c>
      <c r="D16" s="3">
        <v>1</v>
      </c>
      <c r="E16" s="23">
        <v>13249.57</v>
      </c>
      <c r="F16" s="4">
        <v>21000</v>
      </c>
      <c r="G16" s="4">
        <v>21000</v>
      </c>
      <c r="H16" s="25">
        <f t="shared" si="1"/>
        <v>13249.57</v>
      </c>
      <c r="I16" s="4">
        <v>2000</v>
      </c>
      <c r="J16" s="60">
        <f t="shared" si="0"/>
        <v>5750.43</v>
      </c>
      <c r="K16" s="3" t="s">
        <v>12</v>
      </c>
      <c r="L16" s="44" t="s">
        <v>13</v>
      </c>
    </row>
    <row r="17" spans="1:12" x14ac:dyDescent="0.25">
      <c r="A17" s="61">
        <v>46159</v>
      </c>
      <c r="B17" s="3" t="s">
        <v>175</v>
      </c>
      <c r="C17" s="41" t="s">
        <v>30</v>
      </c>
      <c r="D17" s="3">
        <v>1</v>
      </c>
      <c r="E17" s="4">
        <v>0</v>
      </c>
      <c r="F17" s="4">
        <v>850</v>
      </c>
      <c r="G17" s="4">
        <v>850</v>
      </c>
      <c r="H17" s="25">
        <f t="shared" si="1"/>
        <v>0</v>
      </c>
      <c r="I17" s="4">
        <v>250</v>
      </c>
      <c r="J17" s="60">
        <f t="shared" si="0"/>
        <v>600</v>
      </c>
      <c r="K17" s="3" t="s">
        <v>12</v>
      </c>
      <c r="L17" s="44" t="s">
        <v>13</v>
      </c>
    </row>
    <row r="18" spans="1:12" x14ac:dyDescent="0.25">
      <c r="A18" s="61">
        <v>46161</v>
      </c>
      <c r="B18" s="3" t="s">
        <v>18</v>
      </c>
      <c r="C18" s="41" t="s">
        <v>30</v>
      </c>
      <c r="D18" s="3">
        <v>1</v>
      </c>
      <c r="E18" s="4">
        <v>0</v>
      </c>
      <c r="F18" s="4">
        <v>1900</v>
      </c>
      <c r="G18" s="4">
        <v>1900</v>
      </c>
      <c r="H18" s="25">
        <f t="shared" si="1"/>
        <v>0</v>
      </c>
      <c r="I18" s="4">
        <v>250</v>
      </c>
      <c r="J18" s="60">
        <f t="shared" si="0"/>
        <v>1650</v>
      </c>
      <c r="K18" s="3" t="s">
        <v>12</v>
      </c>
      <c r="L18" s="44" t="s">
        <v>13</v>
      </c>
    </row>
    <row r="19" spans="1:12" x14ac:dyDescent="0.25">
      <c r="A19" s="61">
        <v>46160</v>
      </c>
      <c r="B19" s="3" t="s">
        <v>183</v>
      </c>
      <c r="C19" s="41" t="s">
        <v>30</v>
      </c>
      <c r="D19" s="3">
        <v>2</v>
      </c>
      <c r="E19" s="4">
        <v>0</v>
      </c>
      <c r="F19" s="4">
        <v>1500</v>
      </c>
      <c r="G19" s="4">
        <v>3000</v>
      </c>
      <c r="H19" s="25">
        <f t="shared" si="1"/>
        <v>0</v>
      </c>
      <c r="I19" s="4">
        <v>500</v>
      </c>
      <c r="J19" s="60">
        <f t="shared" si="0"/>
        <v>2500</v>
      </c>
      <c r="K19" s="3" t="s">
        <v>12</v>
      </c>
      <c r="L19" s="44" t="s">
        <v>13</v>
      </c>
    </row>
    <row r="20" spans="1:12" x14ac:dyDescent="0.25">
      <c r="A20" s="61">
        <v>46161</v>
      </c>
      <c r="B20" s="3" t="s">
        <v>159</v>
      </c>
      <c r="C20" s="41" t="s">
        <v>30</v>
      </c>
      <c r="D20" s="3">
        <v>1</v>
      </c>
      <c r="E20" s="4">
        <v>0</v>
      </c>
      <c r="F20" s="4">
        <v>1000</v>
      </c>
      <c r="G20" s="4">
        <v>1000</v>
      </c>
      <c r="H20" s="25">
        <f t="shared" si="1"/>
        <v>0</v>
      </c>
      <c r="I20" s="4">
        <v>250</v>
      </c>
      <c r="J20" s="60">
        <f t="shared" si="0"/>
        <v>750</v>
      </c>
      <c r="K20" s="3" t="s">
        <v>12</v>
      </c>
      <c r="L20" s="44" t="s">
        <v>13</v>
      </c>
    </row>
    <row r="21" spans="1:12" x14ac:dyDescent="0.25">
      <c r="A21" s="61">
        <v>46162</v>
      </c>
      <c r="B21" s="3" t="s">
        <v>14</v>
      </c>
      <c r="C21" s="3" t="s">
        <v>173</v>
      </c>
      <c r="D21" s="3">
        <v>1</v>
      </c>
      <c r="E21" s="20">
        <v>296.06</v>
      </c>
      <c r="F21" s="4">
        <v>958</v>
      </c>
      <c r="G21" s="4">
        <v>958</v>
      </c>
      <c r="H21" s="25">
        <f t="shared" si="1"/>
        <v>296.06</v>
      </c>
      <c r="I21" s="4">
        <v>200</v>
      </c>
      <c r="J21" s="60">
        <f t="shared" si="0"/>
        <v>461.94</v>
      </c>
      <c r="K21" s="3" t="s">
        <v>12</v>
      </c>
      <c r="L21" s="44" t="s">
        <v>16</v>
      </c>
    </row>
    <row r="22" spans="1:12" x14ac:dyDescent="0.25">
      <c r="A22" s="61">
        <v>46163</v>
      </c>
      <c r="B22" s="3" t="s">
        <v>183</v>
      </c>
      <c r="C22" s="41" t="s">
        <v>30</v>
      </c>
      <c r="D22" s="3">
        <v>1</v>
      </c>
      <c r="E22" s="4">
        <v>0</v>
      </c>
      <c r="F22" s="4">
        <v>1500</v>
      </c>
      <c r="G22" s="4">
        <v>1500</v>
      </c>
      <c r="H22" s="25">
        <f t="shared" si="1"/>
        <v>0</v>
      </c>
      <c r="I22" s="4">
        <v>250</v>
      </c>
      <c r="J22" s="60">
        <f t="shared" si="0"/>
        <v>1250</v>
      </c>
      <c r="K22" s="3" t="s">
        <v>12</v>
      </c>
      <c r="L22" s="44" t="s">
        <v>13</v>
      </c>
    </row>
    <row r="23" spans="1:12" x14ac:dyDescent="0.25">
      <c r="A23" s="61">
        <v>46164</v>
      </c>
      <c r="B23" s="3" t="s">
        <v>18</v>
      </c>
      <c r="C23" s="41" t="s">
        <v>30</v>
      </c>
      <c r="D23" s="3">
        <v>1</v>
      </c>
      <c r="E23" s="4">
        <v>0</v>
      </c>
      <c r="F23" s="4">
        <v>1900</v>
      </c>
      <c r="G23" s="4">
        <v>1900</v>
      </c>
      <c r="H23" s="25">
        <f t="shared" si="1"/>
        <v>0</v>
      </c>
      <c r="I23" s="4">
        <v>250</v>
      </c>
      <c r="J23" s="60">
        <f t="shared" si="0"/>
        <v>1650</v>
      </c>
      <c r="K23" s="3" t="s">
        <v>12</v>
      </c>
      <c r="L23" s="44" t="s">
        <v>16</v>
      </c>
    </row>
    <row r="24" spans="1:12" x14ac:dyDescent="0.25">
      <c r="A24" s="61">
        <v>46165</v>
      </c>
      <c r="B24" s="3" t="s">
        <v>183</v>
      </c>
      <c r="C24" s="41" t="s">
        <v>30</v>
      </c>
      <c r="D24" s="3">
        <v>1</v>
      </c>
      <c r="E24" s="4">
        <v>0</v>
      </c>
      <c r="F24" s="4">
        <v>1500</v>
      </c>
      <c r="G24" s="4">
        <v>1500</v>
      </c>
      <c r="H24" s="25">
        <f t="shared" si="1"/>
        <v>0</v>
      </c>
      <c r="I24" s="4">
        <v>250</v>
      </c>
      <c r="J24" s="60">
        <f t="shared" si="0"/>
        <v>1250</v>
      </c>
      <c r="K24" s="3" t="s">
        <v>12</v>
      </c>
      <c r="L24" s="44" t="s">
        <v>13</v>
      </c>
    </row>
    <row r="25" spans="1:12" x14ac:dyDescent="0.25">
      <c r="A25" s="61">
        <v>46166</v>
      </c>
      <c r="B25" s="3" t="s">
        <v>186</v>
      </c>
      <c r="C25" s="3" t="s">
        <v>187</v>
      </c>
      <c r="D25" s="3">
        <v>2</v>
      </c>
      <c r="E25" s="4">
        <v>0</v>
      </c>
      <c r="F25" s="4">
        <v>75</v>
      </c>
      <c r="G25" s="4">
        <v>150</v>
      </c>
      <c r="H25" s="25">
        <v>60</v>
      </c>
      <c r="I25" s="4">
        <v>0</v>
      </c>
      <c r="J25" s="60">
        <f t="shared" si="0"/>
        <v>90</v>
      </c>
      <c r="K25" s="3" t="s">
        <v>12</v>
      </c>
      <c r="L25" s="44" t="s">
        <v>16</v>
      </c>
    </row>
    <row r="26" spans="1:12" x14ac:dyDescent="0.25">
      <c r="A26" s="61">
        <v>46166</v>
      </c>
      <c r="B26" s="3" t="s">
        <v>14</v>
      </c>
      <c r="C26" s="41" t="s">
        <v>30</v>
      </c>
      <c r="D26" s="3">
        <v>1</v>
      </c>
      <c r="E26" s="4">
        <v>0</v>
      </c>
      <c r="F26" s="4">
        <v>750</v>
      </c>
      <c r="G26" s="4">
        <v>750</v>
      </c>
      <c r="H26" s="4">
        <v>0</v>
      </c>
      <c r="I26" s="4">
        <v>250</v>
      </c>
      <c r="J26" s="60">
        <f t="shared" si="0"/>
        <v>500</v>
      </c>
      <c r="K26" s="3" t="s">
        <v>12</v>
      </c>
      <c r="L26" s="44" t="s">
        <v>16</v>
      </c>
    </row>
    <row r="27" spans="1:12" x14ac:dyDescent="0.25">
      <c r="A27" s="61">
        <v>46161</v>
      </c>
      <c r="B27" s="3" t="s">
        <v>182</v>
      </c>
      <c r="C27" s="41" t="s">
        <v>30</v>
      </c>
      <c r="D27" s="3">
        <v>1</v>
      </c>
      <c r="E27" s="4">
        <v>0</v>
      </c>
      <c r="F27" s="4">
        <v>750</v>
      </c>
      <c r="G27" s="4">
        <v>750</v>
      </c>
      <c r="H27" s="25">
        <v>0</v>
      </c>
      <c r="I27" s="4">
        <v>250</v>
      </c>
      <c r="J27" s="60">
        <f t="shared" si="0"/>
        <v>500</v>
      </c>
      <c r="K27" s="3" t="s">
        <v>12</v>
      </c>
      <c r="L27" s="44" t="s">
        <v>13</v>
      </c>
    </row>
    <row r="28" spans="1:12" x14ac:dyDescent="0.25">
      <c r="A28" s="61">
        <v>46168</v>
      </c>
      <c r="B28" s="3" t="s">
        <v>182</v>
      </c>
      <c r="C28" s="3" t="s">
        <v>173</v>
      </c>
      <c r="D28" s="3">
        <v>1</v>
      </c>
      <c r="E28" s="20">
        <v>296.06</v>
      </c>
      <c r="F28" s="4">
        <v>958</v>
      </c>
      <c r="G28" s="4">
        <v>958</v>
      </c>
      <c r="H28" s="25">
        <f t="shared" si="1"/>
        <v>296.06</v>
      </c>
      <c r="I28" s="4">
        <v>200</v>
      </c>
      <c r="J28" s="60">
        <f t="shared" si="0"/>
        <v>461.94</v>
      </c>
      <c r="K28" s="3" t="s">
        <v>12</v>
      </c>
      <c r="L28" s="44" t="s">
        <v>13</v>
      </c>
    </row>
    <row r="29" spans="1:12" x14ac:dyDescent="0.25">
      <c r="A29" s="61">
        <v>46168</v>
      </c>
      <c r="B29" s="3" t="s">
        <v>182</v>
      </c>
      <c r="C29" s="3" t="s">
        <v>177</v>
      </c>
      <c r="D29" s="3">
        <v>4</v>
      </c>
      <c r="E29" s="4">
        <v>119.54</v>
      </c>
      <c r="F29" s="4">
        <v>325</v>
      </c>
      <c r="G29" s="4">
        <f>SUM(D29*F29)</f>
        <v>1300</v>
      </c>
      <c r="H29" s="25">
        <f>SUM(D29*E29)</f>
        <v>478.16</v>
      </c>
      <c r="I29" s="4">
        <v>0</v>
      </c>
      <c r="J29" s="60">
        <f t="shared" si="0"/>
        <v>821.83999999999992</v>
      </c>
      <c r="K29" s="3" t="s">
        <v>12</v>
      </c>
      <c r="L29" s="44" t="s">
        <v>13</v>
      </c>
    </row>
    <row r="30" spans="1:12" x14ac:dyDescent="0.25">
      <c r="A30" s="61">
        <v>46172</v>
      </c>
      <c r="B30" s="3" t="s">
        <v>189</v>
      </c>
      <c r="C30" s="41" t="s">
        <v>30</v>
      </c>
      <c r="D30" s="3">
        <v>1</v>
      </c>
      <c r="E30" s="23">
        <v>0</v>
      </c>
      <c r="F30" s="4">
        <v>750</v>
      </c>
      <c r="G30" s="4">
        <v>750</v>
      </c>
      <c r="H30" s="25">
        <v>0</v>
      </c>
      <c r="I30" s="4">
        <v>250</v>
      </c>
      <c r="J30" s="60">
        <f t="shared" si="0"/>
        <v>500</v>
      </c>
      <c r="K30" s="3" t="s">
        <v>12</v>
      </c>
      <c r="L30" s="44" t="s">
        <v>16</v>
      </c>
    </row>
    <row r="31" spans="1:12" ht="15.75" thickBot="1" x14ac:dyDescent="0.3">
      <c r="A31" s="62"/>
      <c r="B31" s="42"/>
      <c r="C31" s="42"/>
      <c r="D31" s="42"/>
      <c r="E31" s="63"/>
      <c r="F31" s="63"/>
      <c r="G31" s="64"/>
      <c r="H31" s="63"/>
      <c r="I31" s="63"/>
      <c r="J31" s="90"/>
      <c r="K31" s="42"/>
      <c r="L31" s="91"/>
    </row>
    <row r="32" spans="1:12" x14ac:dyDescent="0.25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</row>
    <row r="33" spans="1:11" x14ac:dyDescent="0.25">
      <c r="A33" s="17"/>
      <c r="C33" s="185" t="s">
        <v>19</v>
      </c>
      <c r="D33" s="186"/>
      <c r="E33" s="186"/>
      <c r="F33" s="187"/>
      <c r="G33" s="56">
        <f>SUM(G2:G31)</f>
        <v>74624</v>
      </c>
      <c r="H33" s="27">
        <f>SUM(H2:H31)</f>
        <v>24459.27</v>
      </c>
      <c r="I33" s="27">
        <f>SUM(I2:I31)</f>
        <v>10000</v>
      </c>
      <c r="J33" s="27">
        <f>SUM(J2:J31)</f>
        <v>40164.729999999996</v>
      </c>
    </row>
    <row r="34" spans="1:11" x14ac:dyDescent="0.25">
      <c r="A34" s="17"/>
      <c r="D34" s="10"/>
      <c r="E34" s="10"/>
      <c r="F34" s="10"/>
      <c r="G34" s="188" t="s">
        <v>20</v>
      </c>
      <c r="H34" s="188"/>
      <c r="I34" s="188"/>
      <c r="J34" s="28">
        <v>5700</v>
      </c>
    </row>
    <row r="35" spans="1:11" x14ac:dyDescent="0.25">
      <c r="A35" s="17"/>
      <c r="D35" s="12"/>
      <c r="E35" s="12"/>
      <c r="F35" s="12"/>
      <c r="G35" s="196" t="s">
        <v>318</v>
      </c>
      <c r="H35" s="197"/>
      <c r="I35" s="198"/>
      <c r="J35" s="111">
        <v>5120</v>
      </c>
    </row>
    <row r="36" spans="1:11" x14ac:dyDescent="0.25">
      <c r="A36" s="17"/>
      <c r="D36" s="12"/>
      <c r="E36" s="12"/>
      <c r="F36" s="12"/>
      <c r="G36" s="196" t="s">
        <v>319</v>
      </c>
      <c r="H36" s="197"/>
      <c r="I36" s="198"/>
      <c r="J36" s="111">
        <v>5500</v>
      </c>
    </row>
    <row r="37" spans="1:11" x14ac:dyDescent="0.25">
      <c r="A37" s="17"/>
      <c r="D37" s="12"/>
      <c r="E37" s="12"/>
      <c r="F37" s="12"/>
      <c r="G37" s="196" t="s">
        <v>321</v>
      </c>
      <c r="H37" s="197"/>
      <c r="I37" s="198"/>
      <c r="J37" s="111">
        <v>1157.9000000000001</v>
      </c>
    </row>
    <row r="38" spans="1:11" x14ac:dyDescent="0.25">
      <c r="A38" s="17"/>
      <c r="D38" s="12"/>
      <c r="E38" s="12"/>
      <c r="F38" s="12"/>
      <c r="G38" s="196" t="s">
        <v>320</v>
      </c>
      <c r="H38" s="197"/>
      <c r="I38" s="198"/>
      <c r="J38" s="111">
        <v>2000</v>
      </c>
    </row>
    <row r="39" spans="1:11" x14ac:dyDescent="0.25">
      <c r="A39" s="17"/>
      <c r="D39" s="12"/>
      <c r="E39" s="12"/>
      <c r="F39" s="12"/>
      <c r="G39" s="188" t="s">
        <v>21</v>
      </c>
      <c r="H39" s="188"/>
      <c r="I39" s="188"/>
      <c r="J39" s="28">
        <v>16125</v>
      </c>
    </row>
    <row r="40" spans="1:11" x14ac:dyDescent="0.25">
      <c r="A40" s="17"/>
      <c r="D40" s="12"/>
      <c r="E40" s="12"/>
      <c r="F40" s="12"/>
      <c r="G40" s="192" t="s">
        <v>237</v>
      </c>
      <c r="H40" s="193"/>
      <c r="I40" s="194"/>
      <c r="J40" s="28">
        <v>1468.09</v>
      </c>
    </row>
    <row r="41" spans="1:11" x14ac:dyDescent="0.25">
      <c r="A41" s="17"/>
      <c r="D41" s="12"/>
      <c r="E41" s="12"/>
      <c r="F41" s="12"/>
      <c r="G41" s="188" t="s">
        <v>238</v>
      </c>
      <c r="H41" s="188"/>
      <c r="I41" s="188"/>
      <c r="J41" s="28">
        <v>1115</v>
      </c>
    </row>
    <row r="42" spans="1:11" x14ac:dyDescent="0.25">
      <c r="A42" s="17"/>
      <c r="D42" s="12"/>
      <c r="E42" s="12"/>
      <c r="F42" s="12"/>
      <c r="G42" s="188" t="s">
        <v>23</v>
      </c>
      <c r="H42" s="188"/>
      <c r="I42" s="188"/>
      <c r="J42" s="28">
        <v>70</v>
      </c>
    </row>
    <row r="43" spans="1:11" x14ac:dyDescent="0.25">
      <c r="A43" s="17"/>
      <c r="D43" s="189" t="s">
        <v>24</v>
      </c>
      <c r="E43" s="190"/>
      <c r="F43" s="190"/>
      <c r="G43" s="190"/>
      <c r="H43" s="190"/>
      <c r="I43" s="191"/>
      <c r="J43" s="29">
        <f>SUM(J34:J42)</f>
        <v>38255.99</v>
      </c>
    </row>
    <row r="44" spans="1:11" x14ac:dyDescent="0.25">
      <c r="A44" s="17"/>
      <c r="D44" s="182" t="s">
        <v>25</v>
      </c>
      <c r="E44" s="183"/>
      <c r="F44" s="183"/>
      <c r="G44" s="183"/>
      <c r="H44" s="183"/>
      <c r="I44" s="184"/>
      <c r="J44" s="30">
        <f>SUM(J33-J43)</f>
        <v>1908.739999999998</v>
      </c>
      <c r="K44" s="33" t="s">
        <v>322</v>
      </c>
    </row>
    <row r="45" spans="1:11" ht="15.75" thickBot="1" x14ac:dyDescent="0.3"/>
    <row r="46" spans="1:11" ht="15.75" thickBot="1" x14ac:dyDescent="0.3">
      <c r="C46" s="36" t="s">
        <v>101</v>
      </c>
      <c r="D46" s="37" t="s">
        <v>105</v>
      </c>
      <c r="E46" s="37" t="s">
        <v>102</v>
      </c>
      <c r="F46" s="37" t="s">
        <v>104</v>
      </c>
      <c r="G46" s="37" t="s">
        <v>191</v>
      </c>
      <c r="H46" s="37" t="s">
        <v>192</v>
      </c>
      <c r="I46" s="37" t="s">
        <v>233</v>
      </c>
      <c r="J46" s="38" t="s">
        <v>98</v>
      </c>
    </row>
    <row r="47" spans="1:11" x14ac:dyDescent="0.25">
      <c r="C47" s="39" t="s">
        <v>100</v>
      </c>
      <c r="D47" s="41" t="s">
        <v>109</v>
      </c>
      <c r="E47" s="46">
        <v>75</v>
      </c>
      <c r="F47" s="83" t="s">
        <v>124</v>
      </c>
      <c r="G47" s="41">
        <v>13</v>
      </c>
      <c r="H47" s="83">
        <v>1</v>
      </c>
      <c r="I47" s="83">
        <v>1</v>
      </c>
      <c r="J47" s="45">
        <v>-5</v>
      </c>
    </row>
    <row r="48" spans="1:11" x14ac:dyDescent="0.25">
      <c r="C48" s="31" t="s">
        <v>106</v>
      </c>
      <c r="D48" s="3" t="s">
        <v>110</v>
      </c>
      <c r="E48" s="47">
        <v>24</v>
      </c>
      <c r="F48" s="84" t="s">
        <v>117</v>
      </c>
      <c r="G48" s="3">
        <v>1</v>
      </c>
      <c r="H48" s="84">
        <v>0</v>
      </c>
      <c r="I48" s="84">
        <v>0</v>
      </c>
      <c r="J48" s="44">
        <v>0</v>
      </c>
    </row>
    <row r="49" spans="3:10" x14ac:dyDescent="0.25">
      <c r="C49" s="31" t="s">
        <v>106</v>
      </c>
      <c r="D49" s="3" t="s">
        <v>111</v>
      </c>
      <c r="E49" s="47">
        <v>5</v>
      </c>
      <c r="F49" s="84" t="s">
        <v>120</v>
      </c>
      <c r="G49" s="3">
        <v>0</v>
      </c>
      <c r="H49" s="84">
        <v>0</v>
      </c>
      <c r="I49" s="84">
        <v>0</v>
      </c>
      <c r="J49" s="44">
        <v>0</v>
      </c>
    </row>
    <row r="50" spans="3:10" x14ac:dyDescent="0.25">
      <c r="C50" s="31" t="s">
        <v>100</v>
      </c>
      <c r="D50" s="3" t="s">
        <v>112</v>
      </c>
      <c r="E50" s="47">
        <v>3</v>
      </c>
      <c r="F50" s="84" t="s">
        <v>120</v>
      </c>
      <c r="G50" s="3">
        <v>0</v>
      </c>
      <c r="H50" s="84">
        <v>0</v>
      </c>
      <c r="I50" s="84">
        <v>0</v>
      </c>
      <c r="J50" s="44">
        <v>0</v>
      </c>
    </row>
    <row r="51" spans="3:10" x14ac:dyDescent="0.25">
      <c r="C51" s="31" t="s">
        <v>66</v>
      </c>
      <c r="D51" s="3" t="s">
        <v>112</v>
      </c>
      <c r="E51" s="47">
        <v>10</v>
      </c>
      <c r="F51" s="84" t="s">
        <v>120</v>
      </c>
      <c r="G51" s="3">
        <v>1</v>
      </c>
      <c r="H51" s="84">
        <v>0</v>
      </c>
      <c r="I51" s="84">
        <v>0</v>
      </c>
      <c r="J51" s="44">
        <v>0</v>
      </c>
    </row>
    <row r="52" spans="3:10" x14ac:dyDescent="0.25">
      <c r="C52" s="31" t="s">
        <v>99</v>
      </c>
      <c r="D52" s="3" t="s">
        <v>113</v>
      </c>
      <c r="E52" s="47">
        <v>150</v>
      </c>
      <c r="F52" s="84" t="s">
        <v>119</v>
      </c>
      <c r="G52" s="3">
        <v>17</v>
      </c>
      <c r="H52" s="84" t="s">
        <v>134</v>
      </c>
      <c r="I52" s="84">
        <v>8</v>
      </c>
      <c r="J52" s="44">
        <v>-4</v>
      </c>
    </row>
    <row r="53" spans="3:10" x14ac:dyDescent="0.25">
      <c r="C53" s="31" t="s">
        <v>99</v>
      </c>
      <c r="D53" s="3" t="s">
        <v>114</v>
      </c>
      <c r="E53" s="47">
        <v>100</v>
      </c>
      <c r="F53" s="84" t="s">
        <v>121</v>
      </c>
      <c r="G53" s="3">
        <v>10</v>
      </c>
      <c r="H53" s="84">
        <v>4</v>
      </c>
      <c r="I53" s="84">
        <v>0</v>
      </c>
      <c r="J53" s="44">
        <v>0</v>
      </c>
    </row>
    <row r="54" spans="3:10" x14ac:dyDescent="0.25">
      <c r="C54" s="31" t="s">
        <v>99</v>
      </c>
      <c r="D54" s="3" t="s">
        <v>115</v>
      </c>
      <c r="E54" s="47">
        <v>100</v>
      </c>
      <c r="F54" s="84" t="s">
        <v>121</v>
      </c>
      <c r="G54" s="3">
        <v>25</v>
      </c>
      <c r="H54" s="84">
        <v>16</v>
      </c>
      <c r="I54" s="84">
        <v>0</v>
      </c>
      <c r="J54" s="44">
        <v>0</v>
      </c>
    </row>
    <row r="55" spans="3:10" x14ac:dyDescent="0.25">
      <c r="C55" s="31" t="s">
        <v>99</v>
      </c>
      <c r="D55" s="3" t="s">
        <v>116</v>
      </c>
      <c r="E55" s="47">
        <v>100</v>
      </c>
      <c r="F55" s="84" t="s">
        <v>121</v>
      </c>
      <c r="G55" s="3">
        <v>5</v>
      </c>
      <c r="H55" s="84">
        <v>0</v>
      </c>
      <c r="I55" s="84">
        <v>10</v>
      </c>
      <c r="J55" s="44" t="s">
        <v>234</v>
      </c>
    </row>
    <row r="56" spans="3:10" x14ac:dyDescent="0.25">
      <c r="C56" s="31" t="s">
        <v>107</v>
      </c>
      <c r="D56" s="3"/>
      <c r="E56" s="47">
        <v>18</v>
      </c>
      <c r="F56" s="84" t="s">
        <v>123</v>
      </c>
      <c r="G56" s="3">
        <v>4</v>
      </c>
      <c r="H56" s="84" t="s">
        <v>125</v>
      </c>
      <c r="I56" s="84">
        <v>0</v>
      </c>
      <c r="J56" s="44">
        <v>0</v>
      </c>
    </row>
    <row r="57" spans="3:10" x14ac:dyDescent="0.25">
      <c r="C57" s="31" t="s">
        <v>193</v>
      </c>
      <c r="D57" s="3"/>
      <c r="E57" s="47">
        <v>210</v>
      </c>
      <c r="F57" s="84">
        <v>17</v>
      </c>
      <c r="G57" s="3">
        <v>34</v>
      </c>
      <c r="H57" s="84">
        <v>13</v>
      </c>
      <c r="I57" s="84">
        <v>32</v>
      </c>
      <c r="J57" s="44"/>
    </row>
    <row r="58" spans="3:10" ht="15.75" thickBot="1" x14ac:dyDescent="0.3">
      <c r="C58" s="40" t="s">
        <v>108</v>
      </c>
      <c r="D58" s="42" t="s">
        <v>110</v>
      </c>
      <c r="E58" s="48">
        <v>25</v>
      </c>
      <c r="F58" s="86" t="s">
        <v>123</v>
      </c>
      <c r="G58" s="42">
        <v>34</v>
      </c>
      <c r="H58" s="86">
        <v>0</v>
      </c>
      <c r="I58" s="86">
        <v>0</v>
      </c>
      <c r="J58" s="43">
        <v>0</v>
      </c>
    </row>
  </sheetData>
  <autoFilter ref="A1:K30" xr:uid="{7BEF4B64-73E7-4299-BD0B-D40F43DE2DA9}"/>
  <mergeCells count="13">
    <mergeCell ref="G42:I42"/>
    <mergeCell ref="D43:I43"/>
    <mergeCell ref="D44:I44"/>
    <mergeCell ref="A32:K32"/>
    <mergeCell ref="C33:F33"/>
    <mergeCell ref="G34:I34"/>
    <mergeCell ref="G39:I39"/>
    <mergeCell ref="G40:I40"/>
    <mergeCell ref="G41:I41"/>
    <mergeCell ref="G35:I35"/>
    <mergeCell ref="G36:I36"/>
    <mergeCell ref="G38:I38"/>
    <mergeCell ref="G37:I37"/>
  </mergeCells>
  <conditionalFormatting sqref="K2:K27">
    <cfRule type="containsText" dxfId="8" priority="1" operator="containsText" text="Paid">
      <formula>NOT(ISERROR(SEARCH("Paid",K2)))</formula>
    </cfRule>
    <cfRule type="containsText" dxfId="7" priority="2" operator="containsText" text="Overdue">
      <formula>NOT(ISERROR(SEARCH("Overdue",K2)))</formula>
    </cfRule>
    <cfRule type="containsText" dxfId="6" priority="3" operator="containsText" text="Pending">
      <formula>NOT(ISERROR(SEARCH("Pending",K2)))</formula>
    </cfRule>
  </conditionalFormatting>
  <conditionalFormatting sqref="L2:L30">
    <cfRule type="containsText" dxfId="5" priority="4" operator="containsText" text="Paid">
      <formula>NOT(ISERROR(SEARCH("Paid",L2)))</formula>
    </cfRule>
    <cfRule type="containsText" dxfId="4" priority="5" operator="containsText" text="Unpaid">
      <formula>NOT(ISERROR(SEARCH("Unpaid",L2)))</formula>
    </cfRule>
  </conditionalFormatting>
  <dataValidations count="2">
    <dataValidation type="list" allowBlank="1" showInputMessage="1" showErrorMessage="1" promptTitle="Payment Status" prompt="Choose from the list" sqref="L2:L30" xr:uid="{918DAE56-5CB1-4AD7-A40E-EF865138571A}">
      <formula1>"Unpaid,Partial,Paid"</formula1>
    </dataValidation>
    <dataValidation type="list" allowBlank="1" showInputMessage="1" showErrorMessage="1" promptTitle="Invoice Status" prompt="Choose from the list" sqref="K2:K27" xr:uid="{3D2DF606-126D-4BB4-AAA1-CE93BA2500F3}">
      <formula1>"Pending,Sent,Paid,Overdue"</formula1>
    </dataValidation>
  </dataValidations>
  <pageMargins left="0.7" right="0.7" top="0.75" bottom="0.75" header="0.3" footer="0.3"/>
  <pageSetup paperSize="9" scale="56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79BE-5584-42DC-BC1D-FA97E13CEF2F}">
  <dimension ref="A1:P62"/>
  <sheetViews>
    <sheetView workbookViewId="0">
      <pane ySplit="1" topLeftCell="A52" activePane="bottomLeft" state="frozen"/>
      <selection pane="bottomLeft" activeCell="L41" sqref="L41"/>
    </sheetView>
  </sheetViews>
  <sheetFormatPr defaultRowHeight="15" x14ac:dyDescent="0.25"/>
  <cols>
    <col min="1" max="1" width="12" customWidth="1"/>
    <col min="2" max="2" width="36.5703125" customWidth="1"/>
    <col min="3" max="3" width="31.7109375" customWidth="1"/>
    <col min="4" max="4" width="16.140625" customWidth="1"/>
    <col min="5" max="5" width="17" customWidth="1"/>
    <col min="6" max="6" width="16.42578125" customWidth="1"/>
    <col min="7" max="7" width="20.28515625" customWidth="1"/>
    <col min="8" max="8" width="14.7109375" customWidth="1"/>
    <col min="9" max="10" width="18.85546875" customWidth="1"/>
    <col min="11" max="11" width="17.140625" customWidth="1"/>
    <col min="12" max="12" width="17.5703125" customWidth="1"/>
    <col min="16" max="16" width="12.85546875" customWidth="1"/>
  </cols>
  <sheetData>
    <row r="1" spans="1:13" x14ac:dyDescent="0.25">
      <c r="A1" s="100" t="s">
        <v>0</v>
      </c>
      <c r="B1" s="101" t="s">
        <v>9</v>
      </c>
      <c r="C1" s="101" t="s">
        <v>1</v>
      </c>
      <c r="D1" s="101" t="s">
        <v>2</v>
      </c>
      <c r="E1" s="98" t="s">
        <v>3</v>
      </c>
      <c r="F1" s="98" t="s">
        <v>4</v>
      </c>
      <c r="G1" s="112" t="s">
        <v>188</v>
      </c>
      <c r="H1" s="98" t="s">
        <v>6</v>
      </c>
      <c r="I1" s="98" t="s">
        <v>7</v>
      </c>
      <c r="J1" s="98" t="s">
        <v>8</v>
      </c>
      <c r="K1" s="102" t="s">
        <v>10</v>
      </c>
      <c r="L1" s="102" t="s">
        <v>11</v>
      </c>
      <c r="M1" s="99"/>
    </row>
    <row r="2" spans="1:13" x14ac:dyDescent="0.25">
      <c r="A2" s="16">
        <v>46174</v>
      </c>
      <c r="B2" s="3" t="s">
        <v>236</v>
      </c>
      <c r="C2" s="3" t="s">
        <v>190</v>
      </c>
      <c r="D2" s="3">
        <v>2</v>
      </c>
      <c r="E2" s="4">
        <v>0</v>
      </c>
      <c r="F2" s="4">
        <v>350</v>
      </c>
      <c r="G2" s="4">
        <v>700</v>
      </c>
      <c r="H2" s="4">
        <v>180</v>
      </c>
      <c r="I2" s="4">
        <v>0</v>
      </c>
      <c r="J2" s="5">
        <f t="shared" ref="J2:J37" si="0">SUM(G2-I2-H2)</f>
        <v>520</v>
      </c>
      <c r="K2" s="3" t="s">
        <v>268</v>
      </c>
      <c r="L2" s="103" t="s">
        <v>13</v>
      </c>
      <c r="M2" s="99"/>
    </row>
    <row r="3" spans="1:13" x14ac:dyDescent="0.25">
      <c r="A3" s="16">
        <v>46174</v>
      </c>
      <c r="B3" s="3" t="s">
        <v>267</v>
      </c>
      <c r="C3" s="3" t="s">
        <v>30</v>
      </c>
      <c r="D3" s="3">
        <v>1</v>
      </c>
      <c r="E3" s="4">
        <v>0</v>
      </c>
      <c r="F3" s="4">
        <v>850</v>
      </c>
      <c r="G3" s="4">
        <v>850</v>
      </c>
      <c r="H3" s="4">
        <v>0</v>
      </c>
      <c r="I3" s="4">
        <v>250</v>
      </c>
      <c r="J3" s="5">
        <f t="shared" si="0"/>
        <v>600</v>
      </c>
      <c r="K3" s="3" t="s">
        <v>12</v>
      </c>
      <c r="L3" s="6" t="s">
        <v>16</v>
      </c>
      <c r="M3" s="99"/>
    </row>
    <row r="4" spans="1:13" x14ac:dyDescent="0.25">
      <c r="A4" s="16">
        <v>46175</v>
      </c>
      <c r="B4" s="3" t="s">
        <v>269</v>
      </c>
      <c r="C4" s="3" t="s">
        <v>30</v>
      </c>
      <c r="D4" s="3">
        <v>1</v>
      </c>
      <c r="E4" s="20">
        <v>0</v>
      </c>
      <c r="F4" s="4">
        <v>750</v>
      </c>
      <c r="G4" s="4">
        <v>750</v>
      </c>
      <c r="H4" s="4">
        <v>0</v>
      </c>
      <c r="I4" s="4">
        <v>250</v>
      </c>
      <c r="J4" s="5">
        <f t="shared" si="0"/>
        <v>500</v>
      </c>
      <c r="K4" s="3" t="s">
        <v>12</v>
      </c>
      <c r="L4" s="6" t="s">
        <v>16</v>
      </c>
      <c r="M4" s="99"/>
    </row>
    <row r="5" spans="1:13" x14ac:dyDescent="0.25">
      <c r="A5" s="16">
        <v>46176</v>
      </c>
      <c r="B5" s="3" t="s">
        <v>283</v>
      </c>
      <c r="C5" s="3" t="s">
        <v>280</v>
      </c>
      <c r="D5" s="3">
        <v>2</v>
      </c>
      <c r="E5" s="20">
        <v>1060</v>
      </c>
      <c r="F5" s="4">
        <v>950</v>
      </c>
      <c r="G5" s="20">
        <v>1900</v>
      </c>
      <c r="H5" s="4">
        <v>1060</v>
      </c>
      <c r="I5" s="4">
        <v>500</v>
      </c>
      <c r="J5" s="5">
        <f t="shared" si="0"/>
        <v>340</v>
      </c>
      <c r="K5" s="3" t="s">
        <v>12</v>
      </c>
      <c r="L5" s="6" t="s">
        <v>16</v>
      </c>
      <c r="M5" s="99"/>
    </row>
    <row r="6" spans="1:13" x14ac:dyDescent="0.25">
      <c r="A6" s="16">
        <v>46179</v>
      </c>
      <c r="B6" s="3" t="s">
        <v>270</v>
      </c>
      <c r="C6" s="3" t="s">
        <v>271</v>
      </c>
      <c r="D6" s="3">
        <v>1</v>
      </c>
      <c r="E6" s="4">
        <v>4208.47</v>
      </c>
      <c r="F6" s="4">
        <v>10500</v>
      </c>
      <c r="G6" s="20">
        <v>10500</v>
      </c>
      <c r="H6" s="4">
        <v>500</v>
      </c>
      <c r="I6" s="4">
        <v>1000</v>
      </c>
      <c r="J6" s="5">
        <f>SUM(G6-E6-H6-I6)</f>
        <v>4791.53</v>
      </c>
      <c r="K6" s="3" t="s">
        <v>12</v>
      </c>
      <c r="L6" s="3" t="s">
        <v>16</v>
      </c>
      <c r="M6" s="99"/>
    </row>
    <row r="7" spans="1:13" x14ac:dyDescent="0.25">
      <c r="A7" s="16">
        <v>46179</v>
      </c>
      <c r="B7" s="3" t="s">
        <v>272</v>
      </c>
      <c r="C7" s="3" t="s">
        <v>30</v>
      </c>
      <c r="D7" s="3">
        <v>1</v>
      </c>
      <c r="E7" s="4">
        <v>0</v>
      </c>
      <c r="F7" s="4">
        <v>850</v>
      </c>
      <c r="G7" s="4">
        <v>850</v>
      </c>
      <c r="H7" s="4">
        <v>0</v>
      </c>
      <c r="I7" s="4">
        <v>250</v>
      </c>
      <c r="J7" s="5">
        <f t="shared" si="0"/>
        <v>600</v>
      </c>
      <c r="K7" s="3" t="s">
        <v>12</v>
      </c>
      <c r="L7" s="3" t="s">
        <v>16</v>
      </c>
      <c r="M7" s="99"/>
    </row>
    <row r="8" spans="1:13" x14ac:dyDescent="0.25">
      <c r="A8" s="16">
        <v>46179</v>
      </c>
      <c r="B8" s="3" t="s">
        <v>272</v>
      </c>
      <c r="C8" s="3" t="s">
        <v>273</v>
      </c>
      <c r="D8" s="3">
        <v>18</v>
      </c>
      <c r="E8" s="4">
        <v>13.62</v>
      </c>
      <c r="F8" s="4">
        <v>21</v>
      </c>
      <c r="G8" s="20">
        <f>SUM(D8*F8)</f>
        <v>378</v>
      </c>
      <c r="H8" s="4">
        <f>SUM(D8*E8)</f>
        <v>245.16</v>
      </c>
      <c r="I8" s="4">
        <v>25</v>
      </c>
      <c r="J8" s="5">
        <f t="shared" si="0"/>
        <v>107.84</v>
      </c>
      <c r="K8" s="3" t="s">
        <v>12</v>
      </c>
      <c r="L8" s="3" t="s">
        <v>16</v>
      </c>
      <c r="M8" s="99"/>
    </row>
    <row r="9" spans="1:13" x14ac:dyDescent="0.25">
      <c r="A9" s="16">
        <v>46181</v>
      </c>
      <c r="B9" s="3" t="s">
        <v>274</v>
      </c>
      <c r="C9" s="3" t="s">
        <v>30</v>
      </c>
      <c r="D9" s="3">
        <v>1</v>
      </c>
      <c r="E9" s="23">
        <v>0</v>
      </c>
      <c r="F9" s="4">
        <v>950</v>
      </c>
      <c r="G9" s="4">
        <v>950</v>
      </c>
      <c r="H9" s="4">
        <v>0</v>
      </c>
      <c r="I9" s="4">
        <v>250</v>
      </c>
      <c r="J9" s="5">
        <f t="shared" si="0"/>
        <v>700</v>
      </c>
      <c r="K9" s="3" t="s">
        <v>12</v>
      </c>
      <c r="L9" s="3" t="s">
        <v>16</v>
      </c>
      <c r="M9" s="99"/>
    </row>
    <row r="10" spans="1:13" x14ac:dyDescent="0.25">
      <c r="A10" s="16">
        <v>46181</v>
      </c>
      <c r="B10" s="3" t="s">
        <v>275</v>
      </c>
      <c r="C10" s="3" t="s">
        <v>30</v>
      </c>
      <c r="D10" s="3">
        <v>1</v>
      </c>
      <c r="E10" s="4">
        <v>0</v>
      </c>
      <c r="F10" s="4">
        <v>850</v>
      </c>
      <c r="G10" s="4">
        <v>850</v>
      </c>
      <c r="H10" s="4">
        <v>0</v>
      </c>
      <c r="I10" s="4">
        <v>250</v>
      </c>
      <c r="J10" s="5">
        <f t="shared" si="0"/>
        <v>600</v>
      </c>
      <c r="K10" s="3" t="s">
        <v>12</v>
      </c>
      <c r="L10" s="3" t="s">
        <v>13</v>
      </c>
      <c r="M10" s="99"/>
    </row>
    <row r="11" spans="1:13" x14ac:dyDescent="0.25">
      <c r="A11" s="16">
        <v>46182</v>
      </c>
      <c r="B11" s="3" t="s">
        <v>276</v>
      </c>
      <c r="C11" s="3" t="s">
        <v>30</v>
      </c>
      <c r="D11" s="3">
        <v>1</v>
      </c>
      <c r="E11" s="4">
        <v>0</v>
      </c>
      <c r="F11" s="4">
        <v>850</v>
      </c>
      <c r="G11" s="4">
        <v>850</v>
      </c>
      <c r="H11" s="4">
        <v>0</v>
      </c>
      <c r="I11" s="4">
        <v>250</v>
      </c>
      <c r="J11" s="5">
        <f t="shared" si="0"/>
        <v>600</v>
      </c>
      <c r="K11" s="3" t="s">
        <v>12</v>
      </c>
      <c r="L11" s="3" t="s">
        <v>16</v>
      </c>
      <c r="M11" s="99"/>
    </row>
    <row r="12" spans="1:13" x14ac:dyDescent="0.25">
      <c r="A12" s="16">
        <v>46182</v>
      </c>
      <c r="B12" s="3" t="s">
        <v>276</v>
      </c>
      <c r="C12" s="3" t="s">
        <v>277</v>
      </c>
      <c r="D12" s="3">
        <v>1</v>
      </c>
      <c r="E12" s="4">
        <v>0</v>
      </c>
      <c r="F12" s="4">
        <v>650</v>
      </c>
      <c r="G12" s="20">
        <v>650</v>
      </c>
      <c r="H12" s="4">
        <v>500</v>
      </c>
      <c r="I12" s="4">
        <v>0</v>
      </c>
      <c r="J12" s="5">
        <f t="shared" si="0"/>
        <v>150</v>
      </c>
      <c r="K12" s="3" t="s">
        <v>12</v>
      </c>
      <c r="L12" s="3" t="s">
        <v>16</v>
      </c>
      <c r="M12" s="99"/>
    </row>
    <row r="13" spans="1:13" x14ac:dyDescent="0.25">
      <c r="A13" s="16">
        <v>46182</v>
      </c>
      <c r="B13" s="3" t="s">
        <v>67</v>
      </c>
      <c r="C13" s="3" t="s">
        <v>30</v>
      </c>
      <c r="D13" s="3">
        <v>1</v>
      </c>
      <c r="E13" s="4">
        <v>0</v>
      </c>
      <c r="F13" s="4">
        <v>750</v>
      </c>
      <c r="G13" s="4">
        <v>750</v>
      </c>
      <c r="H13" s="4">
        <v>0</v>
      </c>
      <c r="I13" s="4">
        <v>250</v>
      </c>
      <c r="J13" s="5">
        <f t="shared" si="0"/>
        <v>500</v>
      </c>
      <c r="K13" s="3" t="s">
        <v>12</v>
      </c>
      <c r="L13" s="3" t="s">
        <v>13</v>
      </c>
      <c r="M13" s="99"/>
    </row>
    <row r="14" spans="1:13" x14ac:dyDescent="0.25">
      <c r="A14" s="16">
        <v>46182</v>
      </c>
      <c r="B14" s="3" t="s">
        <v>171</v>
      </c>
      <c r="C14" s="3" t="s">
        <v>30</v>
      </c>
      <c r="D14" s="3">
        <v>1</v>
      </c>
      <c r="E14" s="4">
        <v>0</v>
      </c>
      <c r="F14" s="4">
        <v>850</v>
      </c>
      <c r="G14" s="4">
        <v>850</v>
      </c>
      <c r="H14" s="4">
        <v>0</v>
      </c>
      <c r="I14" s="4">
        <v>250</v>
      </c>
      <c r="J14" s="5">
        <f t="shared" si="0"/>
        <v>600</v>
      </c>
      <c r="K14" s="3" t="s">
        <v>12</v>
      </c>
      <c r="L14" s="3" t="s">
        <v>16</v>
      </c>
      <c r="M14" s="99"/>
    </row>
    <row r="15" spans="1:13" x14ac:dyDescent="0.25">
      <c r="A15" s="16">
        <v>46183</v>
      </c>
      <c r="B15" s="3" t="s">
        <v>278</v>
      </c>
      <c r="C15" s="3" t="s">
        <v>30</v>
      </c>
      <c r="D15" s="3">
        <v>1</v>
      </c>
      <c r="E15" s="4">
        <v>0</v>
      </c>
      <c r="F15" s="4">
        <v>750</v>
      </c>
      <c r="G15" s="4">
        <v>750</v>
      </c>
      <c r="H15" s="4">
        <v>0</v>
      </c>
      <c r="I15" s="4">
        <v>250</v>
      </c>
      <c r="J15" s="5">
        <f t="shared" si="0"/>
        <v>500</v>
      </c>
      <c r="K15" s="3" t="s">
        <v>12</v>
      </c>
      <c r="L15" s="3" t="s">
        <v>16</v>
      </c>
      <c r="M15" s="99"/>
    </row>
    <row r="16" spans="1:13" x14ac:dyDescent="0.25">
      <c r="A16" s="16">
        <v>46187</v>
      </c>
      <c r="B16" s="3" t="s">
        <v>284</v>
      </c>
      <c r="C16" s="3" t="s">
        <v>273</v>
      </c>
      <c r="D16" s="3">
        <v>18</v>
      </c>
      <c r="E16" s="4">
        <v>13.62</v>
      </c>
      <c r="F16" s="4">
        <v>21</v>
      </c>
      <c r="G16" s="20">
        <v>378</v>
      </c>
      <c r="H16" s="4">
        <v>245.16</v>
      </c>
      <c r="I16" s="4">
        <v>25</v>
      </c>
      <c r="J16" s="5">
        <f t="shared" si="0"/>
        <v>107.84</v>
      </c>
      <c r="K16" s="3" t="s">
        <v>12</v>
      </c>
      <c r="L16" s="3" t="s">
        <v>16</v>
      </c>
      <c r="M16" s="99"/>
    </row>
    <row r="17" spans="1:16" x14ac:dyDescent="0.25">
      <c r="A17" s="16">
        <v>46188</v>
      </c>
      <c r="B17" s="3" t="s">
        <v>92</v>
      </c>
      <c r="C17" s="3" t="s">
        <v>30</v>
      </c>
      <c r="D17" s="3">
        <v>1</v>
      </c>
      <c r="E17" s="4">
        <v>0</v>
      </c>
      <c r="F17" s="4">
        <v>750</v>
      </c>
      <c r="G17" s="4">
        <v>750</v>
      </c>
      <c r="H17" s="4">
        <v>250</v>
      </c>
      <c r="I17" s="4">
        <v>250</v>
      </c>
      <c r="J17" s="5">
        <f t="shared" si="0"/>
        <v>250</v>
      </c>
      <c r="K17" s="3" t="s">
        <v>12</v>
      </c>
      <c r="L17" s="3" t="s">
        <v>16</v>
      </c>
      <c r="M17" s="99"/>
    </row>
    <row r="18" spans="1:16" x14ac:dyDescent="0.25">
      <c r="A18" s="16">
        <v>46188</v>
      </c>
      <c r="B18" s="3" t="s">
        <v>279</v>
      </c>
      <c r="C18" s="3" t="s">
        <v>30</v>
      </c>
      <c r="D18" s="3">
        <v>1</v>
      </c>
      <c r="E18" s="23">
        <v>0</v>
      </c>
      <c r="F18" s="4">
        <v>1000</v>
      </c>
      <c r="G18" s="4">
        <v>1000</v>
      </c>
      <c r="H18" s="4">
        <v>0</v>
      </c>
      <c r="I18" s="4">
        <v>250</v>
      </c>
      <c r="J18" s="5">
        <f t="shared" si="0"/>
        <v>750</v>
      </c>
      <c r="K18" s="3" t="s">
        <v>12</v>
      </c>
      <c r="L18" s="3" t="s">
        <v>13</v>
      </c>
      <c r="M18" s="99"/>
    </row>
    <row r="19" spans="1:16" x14ac:dyDescent="0.25">
      <c r="A19" s="16">
        <v>46188</v>
      </c>
      <c r="B19" s="3" t="s">
        <v>279</v>
      </c>
      <c r="C19" s="3" t="s">
        <v>30</v>
      </c>
      <c r="D19" s="3">
        <v>1</v>
      </c>
      <c r="E19" s="23">
        <v>0</v>
      </c>
      <c r="F19" s="4">
        <v>1000</v>
      </c>
      <c r="G19" s="4">
        <v>1000</v>
      </c>
      <c r="H19" s="4">
        <v>0</v>
      </c>
      <c r="I19" s="4">
        <v>250</v>
      </c>
      <c r="J19" s="5">
        <f t="shared" si="0"/>
        <v>750</v>
      </c>
      <c r="K19" s="3" t="s">
        <v>12</v>
      </c>
      <c r="L19" s="3" t="s">
        <v>13</v>
      </c>
      <c r="M19" s="99"/>
    </row>
    <row r="20" spans="1:16" x14ac:dyDescent="0.25">
      <c r="A20" s="16">
        <v>46188</v>
      </c>
      <c r="B20" s="3" t="s">
        <v>279</v>
      </c>
      <c r="C20" s="3" t="s">
        <v>280</v>
      </c>
      <c r="D20" s="3">
        <v>1</v>
      </c>
      <c r="E20" s="23">
        <v>0</v>
      </c>
      <c r="F20" s="4">
        <v>850</v>
      </c>
      <c r="G20" s="20">
        <v>850</v>
      </c>
      <c r="H20" s="4">
        <v>530</v>
      </c>
      <c r="I20" s="4">
        <v>150</v>
      </c>
      <c r="J20" s="5">
        <f t="shared" si="0"/>
        <v>170</v>
      </c>
      <c r="K20" s="3" t="s">
        <v>12</v>
      </c>
      <c r="L20" s="3" t="s">
        <v>13</v>
      </c>
      <c r="M20" s="99"/>
    </row>
    <row r="21" spans="1:16" x14ac:dyDescent="0.25">
      <c r="A21" s="16">
        <v>46188</v>
      </c>
      <c r="B21" s="3" t="s">
        <v>279</v>
      </c>
      <c r="C21" s="3" t="s">
        <v>277</v>
      </c>
      <c r="D21" s="3">
        <v>1</v>
      </c>
      <c r="E21" s="23">
        <v>0</v>
      </c>
      <c r="F21" s="4">
        <v>750</v>
      </c>
      <c r="G21" s="20">
        <v>750</v>
      </c>
      <c r="H21" s="4">
        <v>500</v>
      </c>
      <c r="I21" s="4">
        <v>0</v>
      </c>
      <c r="J21" s="5">
        <f t="shared" si="0"/>
        <v>250</v>
      </c>
      <c r="K21" s="3" t="s">
        <v>12</v>
      </c>
      <c r="L21" s="3" t="s">
        <v>13</v>
      </c>
      <c r="M21" s="99"/>
    </row>
    <row r="22" spans="1:16" x14ac:dyDescent="0.25">
      <c r="A22" s="16">
        <v>46188</v>
      </c>
      <c r="B22" s="3" t="s">
        <v>279</v>
      </c>
      <c r="C22" s="3" t="s">
        <v>281</v>
      </c>
      <c r="D22" s="3">
        <v>1</v>
      </c>
      <c r="E22" s="4">
        <v>0</v>
      </c>
      <c r="F22" s="4">
        <v>500</v>
      </c>
      <c r="G22" s="20">
        <v>500</v>
      </c>
      <c r="H22" s="4">
        <v>0</v>
      </c>
      <c r="I22" s="4">
        <v>250</v>
      </c>
      <c r="J22" s="5">
        <f t="shared" si="0"/>
        <v>250</v>
      </c>
      <c r="K22" s="3" t="s">
        <v>12</v>
      </c>
      <c r="L22" s="3" t="s">
        <v>13</v>
      </c>
      <c r="M22" s="99"/>
    </row>
    <row r="23" spans="1:16" x14ac:dyDescent="0.25">
      <c r="A23" s="16">
        <v>46188</v>
      </c>
      <c r="B23" s="3" t="s">
        <v>140</v>
      </c>
      <c r="C23" s="3" t="s">
        <v>30</v>
      </c>
      <c r="D23" s="3">
        <v>1</v>
      </c>
      <c r="E23" s="4">
        <v>0</v>
      </c>
      <c r="F23" s="4">
        <v>750</v>
      </c>
      <c r="G23" s="4">
        <v>750</v>
      </c>
      <c r="H23" s="4">
        <v>0</v>
      </c>
      <c r="I23" s="4">
        <v>250</v>
      </c>
      <c r="J23" s="5">
        <f t="shared" si="0"/>
        <v>500</v>
      </c>
      <c r="K23" s="3" t="s">
        <v>12</v>
      </c>
      <c r="L23" s="3" t="s">
        <v>13</v>
      </c>
      <c r="M23" s="99"/>
      <c r="P23" s="104"/>
    </row>
    <row r="24" spans="1:16" x14ac:dyDescent="0.25">
      <c r="A24" s="16">
        <v>46188</v>
      </c>
      <c r="B24" s="3" t="s">
        <v>140</v>
      </c>
      <c r="C24" s="3" t="s">
        <v>30</v>
      </c>
      <c r="D24" s="3">
        <v>1</v>
      </c>
      <c r="E24" s="4">
        <v>0</v>
      </c>
      <c r="F24" s="4">
        <v>750</v>
      </c>
      <c r="G24" s="4">
        <v>750</v>
      </c>
      <c r="H24" s="4">
        <v>0</v>
      </c>
      <c r="I24" s="4">
        <v>250</v>
      </c>
      <c r="J24" s="5">
        <f t="shared" si="0"/>
        <v>500</v>
      </c>
      <c r="K24" s="3" t="s">
        <v>12</v>
      </c>
      <c r="L24" s="3" t="s">
        <v>13</v>
      </c>
      <c r="M24" s="99"/>
    </row>
    <row r="25" spans="1:16" x14ac:dyDescent="0.25">
      <c r="A25" s="16">
        <v>46190</v>
      </c>
      <c r="B25" s="3" t="s">
        <v>92</v>
      </c>
      <c r="C25" s="3" t="s">
        <v>30</v>
      </c>
      <c r="D25" s="3">
        <v>1</v>
      </c>
      <c r="E25" s="4">
        <v>0</v>
      </c>
      <c r="F25" s="4">
        <v>750</v>
      </c>
      <c r="G25" s="4">
        <v>750</v>
      </c>
      <c r="H25" s="4">
        <v>250</v>
      </c>
      <c r="I25" s="4">
        <v>250</v>
      </c>
      <c r="J25" s="5">
        <f t="shared" si="0"/>
        <v>250</v>
      </c>
      <c r="K25" s="3" t="s">
        <v>12</v>
      </c>
      <c r="L25" s="3" t="s">
        <v>16</v>
      </c>
      <c r="M25" s="99"/>
    </row>
    <row r="26" spans="1:16" x14ac:dyDescent="0.25">
      <c r="A26" s="16">
        <v>46190</v>
      </c>
      <c r="B26" s="3" t="s">
        <v>140</v>
      </c>
      <c r="C26" s="3" t="s">
        <v>30</v>
      </c>
      <c r="D26" s="3">
        <v>1</v>
      </c>
      <c r="E26" s="4">
        <v>0</v>
      </c>
      <c r="F26" s="4">
        <v>750</v>
      </c>
      <c r="G26" s="4">
        <v>750</v>
      </c>
      <c r="H26" s="4">
        <v>0</v>
      </c>
      <c r="I26" s="4">
        <v>250</v>
      </c>
      <c r="J26" s="5">
        <f t="shared" si="0"/>
        <v>500</v>
      </c>
      <c r="K26" s="3" t="s">
        <v>12</v>
      </c>
      <c r="L26" s="3" t="s">
        <v>13</v>
      </c>
      <c r="M26" s="99"/>
    </row>
    <row r="27" spans="1:16" x14ac:dyDescent="0.25">
      <c r="A27" s="16">
        <v>46191</v>
      </c>
      <c r="B27" s="3" t="s">
        <v>140</v>
      </c>
      <c r="C27" s="3" t="s">
        <v>30</v>
      </c>
      <c r="D27" s="3">
        <v>1</v>
      </c>
      <c r="E27" s="20">
        <v>0</v>
      </c>
      <c r="F27" s="4">
        <v>750</v>
      </c>
      <c r="G27" s="4">
        <v>750</v>
      </c>
      <c r="H27" s="4">
        <v>0</v>
      </c>
      <c r="I27" s="4">
        <v>250</v>
      </c>
      <c r="J27" s="5">
        <f t="shared" si="0"/>
        <v>500</v>
      </c>
      <c r="K27" s="3" t="s">
        <v>12</v>
      </c>
      <c r="L27" s="3" t="s">
        <v>13</v>
      </c>
      <c r="M27" s="99"/>
    </row>
    <row r="28" spans="1:16" x14ac:dyDescent="0.25">
      <c r="A28" s="16">
        <v>46191</v>
      </c>
      <c r="B28" s="3" t="s">
        <v>140</v>
      </c>
      <c r="C28" s="3" t="s">
        <v>173</v>
      </c>
      <c r="D28" s="3">
        <v>1</v>
      </c>
      <c r="E28" s="20">
        <v>296.06</v>
      </c>
      <c r="F28" s="4">
        <v>958</v>
      </c>
      <c r="G28" s="4">
        <v>958</v>
      </c>
      <c r="H28" s="4">
        <v>296.06</v>
      </c>
      <c r="I28" s="4">
        <v>200</v>
      </c>
      <c r="J28" s="5">
        <f t="shared" si="0"/>
        <v>461.94</v>
      </c>
      <c r="K28" s="3" t="s">
        <v>12</v>
      </c>
      <c r="L28" s="3" t="s">
        <v>13</v>
      </c>
      <c r="M28" s="99"/>
    </row>
    <row r="29" spans="1:16" x14ac:dyDescent="0.25">
      <c r="A29" s="16">
        <v>46191</v>
      </c>
      <c r="B29" s="3" t="s">
        <v>80</v>
      </c>
      <c r="C29" s="3" t="s">
        <v>28</v>
      </c>
      <c r="D29" s="3">
        <v>1</v>
      </c>
      <c r="E29" s="4">
        <v>13249.57</v>
      </c>
      <c r="F29" s="4">
        <v>21000</v>
      </c>
      <c r="G29" s="20">
        <v>21000</v>
      </c>
      <c r="H29" s="4">
        <v>13249.57</v>
      </c>
      <c r="I29" s="4">
        <v>2000</v>
      </c>
      <c r="J29" s="5">
        <f t="shared" si="0"/>
        <v>5750.43</v>
      </c>
      <c r="K29" s="3" t="s">
        <v>12</v>
      </c>
      <c r="L29" s="3" t="s">
        <v>13</v>
      </c>
      <c r="M29" s="99"/>
    </row>
    <row r="30" spans="1:16" x14ac:dyDescent="0.25">
      <c r="A30" s="16">
        <v>46191</v>
      </c>
      <c r="B30" s="3" t="s">
        <v>285</v>
      </c>
      <c r="C30" s="3" t="s">
        <v>286</v>
      </c>
      <c r="D30" s="3">
        <v>1</v>
      </c>
      <c r="E30" s="4">
        <v>0</v>
      </c>
      <c r="F30" s="4">
        <v>850</v>
      </c>
      <c r="G30" s="20">
        <v>850</v>
      </c>
      <c r="H30" s="4">
        <v>0</v>
      </c>
      <c r="I30" s="4">
        <v>150</v>
      </c>
      <c r="J30" s="5">
        <f t="shared" si="0"/>
        <v>700</v>
      </c>
      <c r="K30" s="3" t="s">
        <v>12</v>
      </c>
      <c r="L30" s="3" t="s">
        <v>16</v>
      </c>
      <c r="M30" s="99"/>
    </row>
    <row r="31" spans="1:16" x14ac:dyDescent="0.25">
      <c r="A31" s="16">
        <v>46191</v>
      </c>
      <c r="B31" s="3" t="s">
        <v>67</v>
      </c>
      <c r="C31" s="3" t="s">
        <v>282</v>
      </c>
      <c r="D31" s="3">
        <v>1</v>
      </c>
      <c r="E31" s="4">
        <v>0</v>
      </c>
      <c r="F31" s="4">
        <v>600</v>
      </c>
      <c r="G31" s="4">
        <v>600</v>
      </c>
      <c r="H31" s="4">
        <v>0</v>
      </c>
      <c r="I31" s="4">
        <v>50</v>
      </c>
      <c r="J31" s="5">
        <f t="shared" si="0"/>
        <v>550</v>
      </c>
      <c r="K31" s="3" t="s">
        <v>12</v>
      </c>
      <c r="L31" s="3" t="s">
        <v>16</v>
      </c>
      <c r="M31" s="99"/>
    </row>
    <row r="32" spans="1:16" x14ac:dyDescent="0.25">
      <c r="A32" s="16">
        <v>46191</v>
      </c>
      <c r="B32" s="3" t="s">
        <v>92</v>
      </c>
      <c r="C32" s="3" t="s">
        <v>30</v>
      </c>
      <c r="D32" s="3">
        <v>1</v>
      </c>
      <c r="E32" s="4">
        <v>0</v>
      </c>
      <c r="F32" s="4">
        <v>750</v>
      </c>
      <c r="G32" s="4">
        <v>750</v>
      </c>
      <c r="H32" s="4">
        <v>250</v>
      </c>
      <c r="I32" s="4">
        <v>250</v>
      </c>
      <c r="J32" s="5">
        <f t="shared" si="0"/>
        <v>250</v>
      </c>
      <c r="K32" s="3" t="s">
        <v>12</v>
      </c>
      <c r="L32" s="3" t="s">
        <v>16</v>
      </c>
      <c r="M32" s="99"/>
    </row>
    <row r="33" spans="1:13" x14ac:dyDescent="0.25">
      <c r="A33" s="16">
        <v>46194</v>
      </c>
      <c r="B33" s="3" t="s">
        <v>140</v>
      </c>
      <c r="C33" s="3" t="s">
        <v>30</v>
      </c>
      <c r="D33" s="3">
        <v>1</v>
      </c>
      <c r="E33" s="4">
        <v>0</v>
      </c>
      <c r="F33" s="4">
        <v>750</v>
      </c>
      <c r="G33" s="4">
        <v>750</v>
      </c>
      <c r="H33" s="4">
        <v>0</v>
      </c>
      <c r="I33" s="4">
        <v>250</v>
      </c>
      <c r="J33" s="5">
        <f t="shared" si="0"/>
        <v>500</v>
      </c>
      <c r="K33" s="3" t="s">
        <v>12</v>
      </c>
      <c r="L33" s="3" t="s">
        <v>16</v>
      </c>
      <c r="M33" s="99"/>
    </row>
    <row r="34" spans="1:13" x14ac:dyDescent="0.25">
      <c r="A34" s="16">
        <v>46196</v>
      </c>
      <c r="B34" s="3" t="s">
        <v>287</v>
      </c>
      <c r="C34" s="3" t="s">
        <v>273</v>
      </c>
      <c r="D34" s="3">
        <v>20</v>
      </c>
      <c r="E34" s="4">
        <v>13.62</v>
      </c>
      <c r="F34" s="4">
        <v>21</v>
      </c>
      <c r="G34" s="20">
        <f>SUM(D34*F34)</f>
        <v>420</v>
      </c>
      <c r="H34" s="4">
        <f>SUM(D34*E34)</f>
        <v>272.39999999999998</v>
      </c>
      <c r="I34" s="4">
        <v>0</v>
      </c>
      <c r="J34" s="5">
        <f t="shared" si="0"/>
        <v>147.60000000000002</v>
      </c>
      <c r="K34" s="3" t="s">
        <v>12</v>
      </c>
      <c r="L34" s="3" t="s">
        <v>16</v>
      </c>
      <c r="M34" s="99"/>
    </row>
    <row r="35" spans="1:13" x14ac:dyDescent="0.25">
      <c r="A35" s="16">
        <v>46198</v>
      </c>
      <c r="B35" s="3" t="s">
        <v>27</v>
      </c>
      <c r="C35" s="3" t="s">
        <v>288</v>
      </c>
      <c r="D35" s="3">
        <v>1</v>
      </c>
      <c r="E35" s="20">
        <v>0</v>
      </c>
      <c r="F35" s="4">
        <v>0</v>
      </c>
      <c r="G35" s="4">
        <v>650</v>
      </c>
      <c r="H35" s="4">
        <v>0</v>
      </c>
      <c r="I35" s="4">
        <v>150</v>
      </c>
      <c r="J35" s="5">
        <f t="shared" si="0"/>
        <v>500</v>
      </c>
      <c r="K35" s="3" t="s">
        <v>12</v>
      </c>
      <c r="L35" s="3" t="s">
        <v>13</v>
      </c>
      <c r="M35" s="99"/>
    </row>
    <row r="36" spans="1:13" x14ac:dyDescent="0.25">
      <c r="A36" s="16">
        <v>46203</v>
      </c>
      <c r="B36" s="3" t="s">
        <v>236</v>
      </c>
      <c r="C36" s="3" t="s">
        <v>273</v>
      </c>
      <c r="D36" s="3">
        <v>20</v>
      </c>
      <c r="E36" s="4">
        <v>13.62</v>
      </c>
      <c r="F36" s="4">
        <v>21</v>
      </c>
      <c r="G36" s="20">
        <v>420</v>
      </c>
      <c r="H36" s="4">
        <v>272.39999999999998</v>
      </c>
      <c r="I36" s="4">
        <v>0</v>
      </c>
      <c r="J36" s="5">
        <f t="shared" si="0"/>
        <v>147.60000000000002</v>
      </c>
      <c r="K36" s="3" t="s">
        <v>12</v>
      </c>
      <c r="L36" s="3" t="s">
        <v>13</v>
      </c>
      <c r="M36" s="99"/>
    </row>
    <row r="37" spans="1:13" x14ac:dyDescent="0.25">
      <c r="A37" s="16">
        <v>46203</v>
      </c>
      <c r="B37" s="3" t="s">
        <v>278</v>
      </c>
      <c r="C37" s="3" t="s">
        <v>273</v>
      </c>
      <c r="D37" s="3">
        <v>18</v>
      </c>
      <c r="E37" s="4">
        <v>13.62</v>
      </c>
      <c r="F37" s="4">
        <v>21</v>
      </c>
      <c r="G37" s="20">
        <f>SUM(D37*F37)</f>
        <v>378</v>
      </c>
      <c r="H37" s="4">
        <f>SUM(D37*E37)</f>
        <v>245.16</v>
      </c>
      <c r="I37" s="4">
        <v>25</v>
      </c>
      <c r="J37" s="5">
        <f t="shared" si="0"/>
        <v>107.84</v>
      </c>
      <c r="K37" s="3" t="s">
        <v>12</v>
      </c>
      <c r="L37" s="3" t="s">
        <v>16</v>
      </c>
      <c r="M37" s="99"/>
    </row>
    <row r="38" spans="1:13" x14ac:dyDescent="0.25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</row>
    <row r="39" spans="1:13" x14ac:dyDescent="0.25">
      <c r="A39" s="17"/>
      <c r="C39" s="185" t="s">
        <v>19</v>
      </c>
      <c r="D39" s="186"/>
      <c r="E39" s="186"/>
      <c r="F39" s="187"/>
      <c r="G39" s="113">
        <f>SUM(G2:G37)</f>
        <v>57332</v>
      </c>
      <c r="H39" s="27">
        <f>SUM(H2:H37)</f>
        <v>18845.910000000003</v>
      </c>
      <c r="I39" s="27">
        <f>SUM(I2:I37)</f>
        <v>9275</v>
      </c>
      <c r="J39" s="27">
        <f>SUM(J2:J37)</f>
        <v>25002.62</v>
      </c>
    </row>
    <row r="40" spans="1:13" x14ac:dyDescent="0.25">
      <c r="A40" s="17"/>
      <c r="D40" s="10"/>
      <c r="E40" s="10"/>
      <c r="F40" s="10"/>
      <c r="G40" s="188" t="s">
        <v>20</v>
      </c>
      <c r="H40" s="188"/>
      <c r="I40" s="188"/>
      <c r="J40" s="28">
        <v>5700</v>
      </c>
    </row>
    <row r="41" spans="1:13" x14ac:dyDescent="0.25">
      <c r="A41" s="17"/>
      <c r="D41" s="12"/>
      <c r="E41" s="12"/>
      <c r="F41" s="12"/>
      <c r="G41" s="188" t="s">
        <v>21</v>
      </c>
      <c r="H41" s="188"/>
      <c r="I41" s="188"/>
      <c r="J41" s="28">
        <v>16125</v>
      </c>
    </row>
    <row r="42" spans="1:13" x14ac:dyDescent="0.25">
      <c r="A42" s="17"/>
      <c r="D42" s="12"/>
      <c r="E42" s="12"/>
      <c r="F42" s="12"/>
      <c r="G42" s="192" t="s">
        <v>294</v>
      </c>
      <c r="H42" s="193"/>
      <c r="I42" s="194"/>
      <c r="J42" s="28">
        <v>1549.36</v>
      </c>
    </row>
    <row r="43" spans="1:13" x14ac:dyDescent="0.25">
      <c r="A43" s="17"/>
      <c r="D43" s="12"/>
      <c r="E43" s="12"/>
      <c r="F43" s="12"/>
      <c r="G43" s="192" t="s">
        <v>324</v>
      </c>
      <c r="H43" s="193"/>
      <c r="I43" s="194"/>
      <c r="J43" s="28">
        <v>442.3</v>
      </c>
    </row>
    <row r="44" spans="1:13" x14ac:dyDescent="0.25">
      <c r="A44" s="17"/>
      <c r="D44" s="12"/>
      <c r="E44" s="12"/>
      <c r="F44" s="12"/>
      <c r="G44" s="192" t="s">
        <v>323</v>
      </c>
      <c r="H44" s="193"/>
      <c r="I44" s="194"/>
      <c r="J44" s="28">
        <v>100</v>
      </c>
    </row>
    <row r="45" spans="1:13" x14ac:dyDescent="0.25">
      <c r="A45" s="17"/>
      <c r="D45" s="12"/>
      <c r="E45" s="12"/>
      <c r="F45" s="12"/>
      <c r="G45" s="188" t="s">
        <v>295</v>
      </c>
      <c r="H45" s="188"/>
      <c r="I45" s="188"/>
      <c r="J45" s="28">
        <v>845</v>
      </c>
    </row>
    <row r="46" spans="1:13" x14ac:dyDescent="0.25">
      <c r="A46" s="17"/>
      <c r="D46" s="12"/>
      <c r="E46" s="12"/>
      <c r="F46" s="12"/>
      <c r="G46" s="188" t="s">
        <v>23</v>
      </c>
      <c r="H46" s="188"/>
      <c r="I46" s="188"/>
      <c r="J46" s="28">
        <v>70</v>
      </c>
    </row>
    <row r="47" spans="1:13" x14ac:dyDescent="0.25">
      <c r="A47" s="17"/>
      <c r="D47" s="189" t="s">
        <v>24</v>
      </c>
      <c r="E47" s="190"/>
      <c r="F47" s="190"/>
      <c r="G47" s="193"/>
      <c r="H47" s="190"/>
      <c r="I47" s="191"/>
      <c r="J47" s="29">
        <f>SUM(J40:J46)</f>
        <v>24831.66</v>
      </c>
    </row>
    <row r="48" spans="1:13" x14ac:dyDescent="0.25">
      <c r="A48" s="17"/>
      <c r="D48" s="182" t="s">
        <v>25</v>
      </c>
      <c r="E48" s="183"/>
      <c r="F48" s="183"/>
      <c r="G48" s="200"/>
      <c r="H48" s="183"/>
      <c r="I48" s="184"/>
      <c r="J48" s="30">
        <f>SUM(J39-J47)</f>
        <v>170.95999999999913</v>
      </c>
      <c r="K48" s="7">
        <v>311.18</v>
      </c>
    </row>
    <row r="49" spans="3:11" ht="15.75" thickBot="1" x14ac:dyDescent="0.3"/>
    <row r="50" spans="3:11" ht="15.75" thickBot="1" x14ac:dyDescent="0.3">
      <c r="C50" s="36" t="s">
        <v>101</v>
      </c>
      <c r="D50" s="37" t="s">
        <v>105</v>
      </c>
      <c r="E50" s="37" t="s">
        <v>102</v>
      </c>
      <c r="F50" s="37" t="s">
        <v>104</v>
      </c>
      <c r="G50" s="37" t="s">
        <v>191</v>
      </c>
      <c r="H50" s="37" t="s">
        <v>192</v>
      </c>
      <c r="I50" s="37" t="s">
        <v>233</v>
      </c>
      <c r="J50" s="37" t="s">
        <v>235</v>
      </c>
      <c r="K50" s="38" t="s">
        <v>98</v>
      </c>
    </row>
    <row r="51" spans="3:11" x14ac:dyDescent="0.25">
      <c r="C51" s="39" t="s">
        <v>100</v>
      </c>
      <c r="D51" s="41" t="s">
        <v>109</v>
      </c>
      <c r="E51" s="46">
        <v>75</v>
      </c>
      <c r="F51" s="83">
        <v>6</v>
      </c>
      <c r="G51" s="41">
        <v>13</v>
      </c>
      <c r="H51" s="83">
        <v>1</v>
      </c>
      <c r="I51" s="83">
        <v>1</v>
      </c>
      <c r="J51" s="83">
        <v>1</v>
      </c>
      <c r="K51" s="105">
        <f>SUM(J51-F51)</f>
        <v>-5</v>
      </c>
    </row>
    <row r="52" spans="3:11" x14ac:dyDescent="0.25">
      <c r="C52" s="31" t="s">
        <v>106</v>
      </c>
      <c r="D52" s="3" t="s">
        <v>110</v>
      </c>
      <c r="E52" s="47">
        <v>24</v>
      </c>
      <c r="F52" s="84">
        <v>2</v>
      </c>
      <c r="G52" s="3">
        <v>1</v>
      </c>
      <c r="H52" s="84">
        <v>0</v>
      </c>
      <c r="I52" s="84">
        <v>0</v>
      </c>
      <c r="J52" s="84">
        <v>1</v>
      </c>
      <c r="K52" s="105">
        <f t="shared" ref="K52:K62" si="1">SUM(J52-F52)</f>
        <v>-1</v>
      </c>
    </row>
    <row r="53" spans="3:11" x14ac:dyDescent="0.25">
      <c r="C53" s="31" t="s">
        <v>106</v>
      </c>
      <c r="D53" s="3" t="s">
        <v>111</v>
      </c>
      <c r="E53" s="47">
        <v>5</v>
      </c>
      <c r="F53" s="84">
        <v>1</v>
      </c>
      <c r="G53" s="3">
        <v>0</v>
      </c>
      <c r="H53" s="84">
        <v>0</v>
      </c>
      <c r="I53" s="84">
        <v>0</v>
      </c>
      <c r="J53" s="84">
        <v>0</v>
      </c>
      <c r="K53" s="105">
        <f t="shared" si="1"/>
        <v>-1</v>
      </c>
    </row>
    <row r="54" spans="3:11" x14ac:dyDescent="0.25">
      <c r="C54" s="31" t="s">
        <v>100</v>
      </c>
      <c r="D54" s="3" t="s">
        <v>112</v>
      </c>
      <c r="E54" s="47">
        <v>3</v>
      </c>
      <c r="F54" s="84">
        <v>1</v>
      </c>
      <c r="G54" s="3">
        <v>0</v>
      </c>
      <c r="H54" s="84">
        <v>0</v>
      </c>
      <c r="I54" s="84">
        <v>0</v>
      </c>
      <c r="J54" s="84">
        <v>0</v>
      </c>
      <c r="K54" s="105">
        <f t="shared" si="1"/>
        <v>-1</v>
      </c>
    </row>
    <row r="55" spans="3:11" x14ac:dyDescent="0.25">
      <c r="C55" s="31" t="s">
        <v>66</v>
      </c>
      <c r="D55" s="3" t="s">
        <v>112</v>
      </c>
      <c r="E55" s="47">
        <v>10</v>
      </c>
      <c r="F55" s="84">
        <v>1</v>
      </c>
      <c r="G55" s="3">
        <v>1</v>
      </c>
      <c r="H55" s="84">
        <v>0</v>
      </c>
      <c r="I55" s="84">
        <v>0</v>
      </c>
      <c r="J55" s="84">
        <v>0</v>
      </c>
      <c r="K55" s="105">
        <f t="shared" si="1"/>
        <v>-1</v>
      </c>
    </row>
    <row r="56" spans="3:11" x14ac:dyDescent="0.25">
      <c r="C56" s="31" t="s">
        <v>99</v>
      </c>
      <c r="D56" s="3" t="s">
        <v>113</v>
      </c>
      <c r="E56" s="47">
        <v>150</v>
      </c>
      <c r="F56" s="84">
        <v>12</v>
      </c>
      <c r="G56" s="3">
        <v>17</v>
      </c>
      <c r="H56" s="84" t="s">
        <v>134</v>
      </c>
      <c r="I56" s="84">
        <v>8</v>
      </c>
      <c r="J56" s="84">
        <v>0</v>
      </c>
      <c r="K56" s="105">
        <f t="shared" si="1"/>
        <v>-12</v>
      </c>
    </row>
    <row r="57" spans="3:11" x14ac:dyDescent="0.25">
      <c r="C57" s="31" t="s">
        <v>99</v>
      </c>
      <c r="D57" s="3" t="s">
        <v>114</v>
      </c>
      <c r="E57" s="47">
        <v>100</v>
      </c>
      <c r="F57" s="84">
        <v>8</v>
      </c>
      <c r="G57" s="3">
        <v>10</v>
      </c>
      <c r="H57" s="84">
        <v>4</v>
      </c>
      <c r="I57" s="84">
        <v>0</v>
      </c>
      <c r="J57" s="84">
        <v>0</v>
      </c>
      <c r="K57" s="105">
        <f t="shared" si="1"/>
        <v>-8</v>
      </c>
    </row>
    <row r="58" spans="3:11" x14ac:dyDescent="0.25">
      <c r="C58" s="31" t="s">
        <v>99</v>
      </c>
      <c r="D58" s="3" t="s">
        <v>115</v>
      </c>
      <c r="E58" s="47">
        <v>100</v>
      </c>
      <c r="F58" s="84">
        <v>8</v>
      </c>
      <c r="G58" s="3">
        <v>25</v>
      </c>
      <c r="H58" s="84">
        <v>16</v>
      </c>
      <c r="I58" s="84">
        <v>0</v>
      </c>
      <c r="J58" s="84">
        <v>0</v>
      </c>
      <c r="K58" s="105">
        <f t="shared" si="1"/>
        <v>-8</v>
      </c>
    </row>
    <row r="59" spans="3:11" x14ac:dyDescent="0.25">
      <c r="C59" s="31" t="s">
        <v>99</v>
      </c>
      <c r="D59" s="3" t="s">
        <v>116</v>
      </c>
      <c r="E59" s="47">
        <v>100</v>
      </c>
      <c r="F59" s="84">
        <v>8</v>
      </c>
      <c r="G59" s="3">
        <v>5</v>
      </c>
      <c r="H59" s="84">
        <v>0</v>
      </c>
      <c r="I59" s="84">
        <v>10</v>
      </c>
      <c r="J59" s="84">
        <v>0</v>
      </c>
      <c r="K59" s="105">
        <f t="shared" si="1"/>
        <v>-8</v>
      </c>
    </row>
    <row r="60" spans="3:11" x14ac:dyDescent="0.25">
      <c r="C60" s="31" t="s">
        <v>107</v>
      </c>
      <c r="D60" s="3"/>
      <c r="E60" s="47">
        <v>18</v>
      </c>
      <c r="F60" s="84">
        <v>2</v>
      </c>
      <c r="G60" s="3">
        <v>4</v>
      </c>
      <c r="H60" s="84" t="s">
        <v>125</v>
      </c>
      <c r="I60" s="84">
        <v>0</v>
      </c>
      <c r="J60" s="84">
        <v>0</v>
      </c>
      <c r="K60" s="105">
        <f t="shared" si="1"/>
        <v>-2</v>
      </c>
    </row>
    <row r="61" spans="3:11" x14ac:dyDescent="0.25">
      <c r="C61" s="31" t="s">
        <v>193</v>
      </c>
      <c r="D61" s="3"/>
      <c r="E61" s="47">
        <v>210</v>
      </c>
      <c r="F61" s="84">
        <v>17</v>
      </c>
      <c r="G61" s="3">
        <v>34</v>
      </c>
      <c r="H61" s="84">
        <v>13</v>
      </c>
      <c r="I61" s="84">
        <v>32</v>
      </c>
      <c r="J61" s="84">
        <v>17</v>
      </c>
      <c r="K61" s="106">
        <f t="shared" si="1"/>
        <v>0</v>
      </c>
    </row>
    <row r="62" spans="3:11" ht="15.75" thickBot="1" x14ac:dyDescent="0.3">
      <c r="C62" s="40" t="s">
        <v>108</v>
      </c>
      <c r="D62" s="42" t="s">
        <v>110</v>
      </c>
      <c r="E62" s="48">
        <v>25</v>
      </c>
      <c r="F62" s="86">
        <v>2</v>
      </c>
      <c r="G62" s="42">
        <v>34</v>
      </c>
      <c r="H62" s="86">
        <v>0</v>
      </c>
      <c r="I62" s="86">
        <v>0</v>
      </c>
      <c r="J62" s="86">
        <v>0</v>
      </c>
      <c r="K62" s="105">
        <f t="shared" si="1"/>
        <v>-2</v>
      </c>
    </row>
  </sheetData>
  <autoFilter ref="A1:L37" xr:uid="{EC1B79BE-5584-42DC-BC1D-FA97E13CEF2F}"/>
  <mergeCells count="11">
    <mergeCell ref="G46:I46"/>
    <mergeCell ref="D47:I47"/>
    <mergeCell ref="D48:I48"/>
    <mergeCell ref="A38:K38"/>
    <mergeCell ref="C39:F39"/>
    <mergeCell ref="G40:I40"/>
    <mergeCell ref="G41:I41"/>
    <mergeCell ref="G42:I42"/>
    <mergeCell ref="G45:I45"/>
    <mergeCell ref="G44:I44"/>
    <mergeCell ref="G43:I43"/>
  </mergeCells>
  <conditionalFormatting sqref="K2:K37">
    <cfRule type="containsText" dxfId="3" priority="2" operator="containsText" text="Overdue">
      <formula>NOT(ISERROR(SEARCH("Overdue",K2)))</formula>
    </cfRule>
    <cfRule type="containsText" dxfId="2" priority="3" operator="containsText" text="Pending">
      <formula>NOT(ISERROR(SEARCH("Pending",K2)))</formula>
    </cfRule>
  </conditionalFormatting>
  <conditionalFormatting sqref="K2:L37">
    <cfRule type="containsText" dxfId="1" priority="1" operator="containsText" text="Paid">
      <formula>NOT(ISERROR(SEARCH("Paid",K2)))</formula>
    </cfRule>
  </conditionalFormatting>
  <conditionalFormatting sqref="L2:L37">
    <cfRule type="containsText" dxfId="0" priority="5" operator="containsText" text="Unpaid">
      <formula>NOT(ISERROR(SEARCH("Unpaid",L2)))</formula>
    </cfRule>
  </conditionalFormatting>
  <dataValidations count="2">
    <dataValidation type="list" allowBlank="1" showInputMessage="1" showErrorMessage="1" promptTitle="Invoice Status" prompt="Choose from the list" sqref="K2:K37" xr:uid="{8B5D168D-ADFE-41BD-BC69-6AF6AB7A7A12}">
      <formula1>"Pending,Sent,Paid,Overdue"</formula1>
    </dataValidation>
    <dataValidation type="list" allowBlank="1" showInputMessage="1" showErrorMessage="1" promptTitle="Payment Status" prompt="Choose from the list" sqref="L2:L37" xr:uid="{277C3007-7656-42A7-99E0-83C02A269D40}">
      <formula1>"Unpaid,Partial,Paid"</formula1>
    </dataValidation>
  </dataValidations>
  <pageMargins left="0.25" right="0.25" top="0.75" bottom="0.75" header="0.3" footer="0.3"/>
  <pageSetup paperSize="9" scale="75" orientation="landscape" verticalDpi="0" r:id="rId1"/>
  <ignoredErrors>
    <ignoredError sqref="J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F041-BA07-4CD2-9EE7-75C91ED786EE}">
  <dimension ref="A1:L64"/>
  <sheetViews>
    <sheetView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2" width="23.5703125" customWidth="1"/>
    <col min="3" max="3" width="19.5703125" customWidth="1"/>
    <col min="4" max="4" width="19.85546875" customWidth="1"/>
    <col min="5" max="5" width="18.140625" customWidth="1"/>
    <col min="6" max="6" width="15.42578125" customWidth="1"/>
    <col min="7" max="7" width="16.28515625" customWidth="1"/>
    <col min="8" max="8" width="17.42578125" customWidth="1"/>
    <col min="9" max="9" width="16.42578125" customWidth="1"/>
    <col min="10" max="10" width="15.5703125" customWidth="1"/>
    <col min="11" max="11" width="22.7109375" customWidth="1"/>
    <col min="12" max="12" width="17.140625" customWidth="1"/>
  </cols>
  <sheetData>
    <row r="1" spans="1:12" x14ac:dyDescent="0.25">
      <c r="A1" s="132" t="s">
        <v>382</v>
      </c>
      <c r="B1" s="132" t="s">
        <v>381</v>
      </c>
      <c r="C1" s="132" t="s">
        <v>380</v>
      </c>
      <c r="D1" s="132" t="s">
        <v>379</v>
      </c>
      <c r="E1" s="132" t="s">
        <v>378</v>
      </c>
      <c r="F1" s="132" t="s">
        <v>377</v>
      </c>
      <c r="G1" s="132" t="s">
        <v>376</v>
      </c>
      <c r="H1" s="132" t="s">
        <v>375</v>
      </c>
      <c r="I1" s="131" t="s">
        <v>374</v>
      </c>
      <c r="J1" s="131" t="s">
        <v>3</v>
      </c>
      <c r="K1" s="131" t="s">
        <v>373</v>
      </c>
      <c r="L1" s="131" t="s">
        <v>8</v>
      </c>
    </row>
    <row r="2" spans="1:12" x14ac:dyDescent="0.25">
      <c r="A2" s="3" t="s">
        <v>99</v>
      </c>
      <c r="B2" s="3" t="s">
        <v>366</v>
      </c>
      <c r="C2" s="3" t="s">
        <v>372</v>
      </c>
      <c r="D2" s="130">
        <v>240</v>
      </c>
      <c r="E2" s="127">
        <v>27</v>
      </c>
      <c r="F2" s="126">
        <v>10</v>
      </c>
      <c r="G2" s="129">
        <v>25</v>
      </c>
      <c r="H2" s="130">
        <v>213</v>
      </c>
      <c r="I2" s="124">
        <f t="shared" ref="I2:I11" si="0">SUM(E2*J2)</f>
        <v>2881.1699999999996</v>
      </c>
      <c r="J2" s="4">
        <v>106.71</v>
      </c>
      <c r="K2" s="4">
        <v>325</v>
      </c>
      <c r="L2" s="123">
        <f t="shared" ref="L2:L28" si="1">(K2-J2)*H2</f>
        <v>46495.770000000004</v>
      </c>
    </row>
    <row r="3" spans="1:12" x14ac:dyDescent="0.25">
      <c r="A3" s="3" t="s">
        <v>99</v>
      </c>
      <c r="B3" s="3" t="s">
        <v>366</v>
      </c>
      <c r="C3" s="3" t="s">
        <v>371</v>
      </c>
      <c r="D3" s="130">
        <v>65</v>
      </c>
      <c r="E3" s="127">
        <v>0</v>
      </c>
      <c r="F3" s="126">
        <v>10</v>
      </c>
      <c r="G3" s="129">
        <v>50</v>
      </c>
      <c r="H3" s="130">
        <v>65</v>
      </c>
      <c r="I3" s="124">
        <f t="shared" si="0"/>
        <v>0</v>
      </c>
      <c r="J3" s="4">
        <v>515.23</v>
      </c>
      <c r="K3" s="4">
        <v>945.91</v>
      </c>
      <c r="L3" s="123">
        <f t="shared" si="1"/>
        <v>27994.199999999997</v>
      </c>
    </row>
    <row r="4" spans="1:12" x14ac:dyDescent="0.25">
      <c r="A4" s="3" t="s">
        <v>99</v>
      </c>
      <c r="B4" s="3" t="s">
        <v>366</v>
      </c>
      <c r="C4" s="3" t="s">
        <v>370</v>
      </c>
      <c r="D4" s="130">
        <v>61</v>
      </c>
      <c r="E4" s="127">
        <v>0</v>
      </c>
      <c r="F4" s="126">
        <v>10</v>
      </c>
      <c r="G4" s="129">
        <v>50</v>
      </c>
      <c r="H4" s="130">
        <v>61</v>
      </c>
      <c r="I4" s="124">
        <f t="shared" si="0"/>
        <v>0</v>
      </c>
      <c r="J4" s="4">
        <v>756.74</v>
      </c>
      <c r="K4" s="4">
        <v>1150</v>
      </c>
      <c r="L4" s="123">
        <f t="shared" si="1"/>
        <v>23988.86</v>
      </c>
    </row>
    <row r="5" spans="1:12" x14ac:dyDescent="0.25">
      <c r="A5" s="3" t="s">
        <v>99</v>
      </c>
      <c r="B5" s="3" t="s">
        <v>366</v>
      </c>
      <c r="C5" s="3" t="s">
        <v>369</v>
      </c>
      <c r="D5" s="130">
        <v>40</v>
      </c>
      <c r="E5" s="127">
        <v>1</v>
      </c>
      <c r="F5" s="126">
        <v>10</v>
      </c>
      <c r="G5" s="129">
        <v>50</v>
      </c>
      <c r="H5" s="130">
        <v>39</v>
      </c>
      <c r="I5" s="124">
        <f t="shared" si="0"/>
        <v>905.52</v>
      </c>
      <c r="J5" s="4">
        <v>905.52</v>
      </c>
      <c r="K5" s="4">
        <v>1400</v>
      </c>
      <c r="L5" s="123">
        <f t="shared" si="1"/>
        <v>19284.72</v>
      </c>
    </row>
    <row r="6" spans="1:12" x14ac:dyDescent="0.25">
      <c r="A6" s="3" t="s">
        <v>108</v>
      </c>
      <c r="B6" s="3" t="s">
        <v>351</v>
      </c>
      <c r="C6" s="3" t="s">
        <v>110</v>
      </c>
      <c r="D6" s="125">
        <v>44</v>
      </c>
      <c r="E6" s="127">
        <v>35</v>
      </c>
      <c r="F6" s="126">
        <v>5</v>
      </c>
      <c r="G6" s="126">
        <v>0</v>
      </c>
      <c r="H6" s="125">
        <v>9</v>
      </c>
      <c r="I6" s="124">
        <f t="shared" si="0"/>
        <v>3471.3</v>
      </c>
      <c r="J6" s="4">
        <v>99.18</v>
      </c>
      <c r="K6" s="4">
        <v>325</v>
      </c>
      <c r="L6" s="123">
        <f t="shared" si="1"/>
        <v>2032.3799999999999</v>
      </c>
    </row>
    <row r="7" spans="1:12" x14ac:dyDescent="0.25">
      <c r="A7" s="3" t="s">
        <v>368</v>
      </c>
      <c r="B7" s="3" t="s">
        <v>207</v>
      </c>
      <c r="C7" s="3" t="s">
        <v>109</v>
      </c>
      <c r="D7" s="125">
        <v>6</v>
      </c>
      <c r="E7" s="127">
        <v>2</v>
      </c>
      <c r="F7" s="126">
        <v>2</v>
      </c>
      <c r="G7" s="126">
        <v>0</v>
      </c>
      <c r="H7" s="125">
        <v>4</v>
      </c>
      <c r="I7" s="124">
        <f t="shared" si="0"/>
        <v>953.46</v>
      </c>
      <c r="J7" s="4">
        <v>476.73</v>
      </c>
      <c r="K7" s="4">
        <v>1100</v>
      </c>
      <c r="L7" s="123">
        <f t="shared" si="1"/>
        <v>2493.08</v>
      </c>
    </row>
    <row r="8" spans="1:12" x14ac:dyDescent="0.25">
      <c r="A8" s="3" t="s">
        <v>367</v>
      </c>
      <c r="B8" s="3" t="s">
        <v>207</v>
      </c>
      <c r="C8" s="3" t="s">
        <v>110</v>
      </c>
      <c r="D8" s="125">
        <v>6</v>
      </c>
      <c r="E8" s="127">
        <v>0</v>
      </c>
      <c r="F8" s="126">
        <v>2</v>
      </c>
      <c r="G8" s="126">
        <v>0</v>
      </c>
      <c r="H8" s="125">
        <v>6</v>
      </c>
      <c r="I8" s="124">
        <f t="shared" si="0"/>
        <v>0</v>
      </c>
      <c r="J8" s="4">
        <v>365.69</v>
      </c>
      <c r="K8" s="4">
        <v>1000</v>
      </c>
      <c r="L8" s="123">
        <f t="shared" si="1"/>
        <v>3805.8599999999997</v>
      </c>
    </row>
    <row r="9" spans="1:12" x14ac:dyDescent="0.25">
      <c r="A9" s="3" t="s">
        <v>86</v>
      </c>
      <c r="B9" s="3" t="s">
        <v>366</v>
      </c>
      <c r="C9" s="3" t="s">
        <v>109</v>
      </c>
      <c r="D9" s="125">
        <v>10</v>
      </c>
      <c r="E9" s="127">
        <v>2</v>
      </c>
      <c r="F9" s="126">
        <v>2</v>
      </c>
      <c r="G9" s="129">
        <v>10</v>
      </c>
      <c r="H9" s="125">
        <v>8</v>
      </c>
      <c r="I9" s="124">
        <f t="shared" si="0"/>
        <v>573.58000000000004</v>
      </c>
      <c r="J9" s="4">
        <v>286.79000000000002</v>
      </c>
      <c r="K9" s="4">
        <v>1340.75</v>
      </c>
      <c r="L9" s="123">
        <f t="shared" si="1"/>
        <v>8431.68</v>
      </c>
    </row>
    <row r="10" spans="1:12" x14ac:dyDescent="0.25">
      <c r="A10" s="3" t="s">
        <v>365</v>
      </c>
      <c r="B10" s="3" t="s">
        <v>331</v>
      </c>
      <c r="C10" s="3" t="s">
        <v>364</v>
      </c>
      <c r="D10" s="125">
        <v>1</v>
      </c>
      <c r="E10" s="127">
        <v>1</v>
      </c>
      <c r="F10" s="126" t="s">
        <v>337</v>
      </c>
      <c r="G10" s="126">
        <v>0</v>
      </c>
      <c r="H10" s="125">
        <v>0</v>
      </c>
      <c r="I10" s="124">
        <f t="shared" si="0"/>
        <v>467.17</v>
      </c>
      <c r="J10" s="4">
        <v>467.17</v>
      </c>
      <c r="K10" s="4">
        <v>1000</v>
      </c>
      <c r="L10" s="123">
        <f t="shared" si="1"/>
        <v>0</v>
      </c>
    </row>
    <row r="11" spans="1:12" x14ac:dyDescent="0.25">
      <c r="A11" s="3" t="s">
        <v>363</v>
      </c>
      <c r="B11" s="3" t="s">
        <v>207</v>
      </c>
      <c r="C11" s="3" t="s">
        <v>361</v>
      </c>
      <c r="D11" s="125">
        <v>2</v>
      </c>
      <c r="E11" s="127">
        <v>0</v>
      </c>
      <c r="F11" s="126" t="s">
        <v>337</v>
      </c>
      <c r="G11" s="126">
        <v>0</v>
      </c>
      <c r="H11" s="125">
        <v>2</v>
      </c>
      <c r="I11" s="124">
        <f t="shared" si="0"/>
        <v>0</v>
      </c>
      <c r="J11" s="4">
        <v>377.76</v>
      </c>
      <c r="K11" s="4">
        <v>713.88</v>
      </c>
      <c r="L11" s="123">
        <f t="shared" si="1"/>
        <v>672.24</v>
      </c>
    </row>
    <row r="12" spans="1:12" x14ac:dyDescent="0.25">
      <c r="A12" s="3" t="s">
        <v>362</v>
      </c>
      <c r="B12" s="3" t="s">
        <v>207</v>
      </c>
      <c r="C12" s="3" t="s">
        <v>361</v>
      </c>
      <c r="D12" s="125">
        <v>9</v>
      </c>
      <c r="E12" s="127">
        <v>2</v>
      </c>
      <c r="F12" s="126">
        <v>2</v>
      </c>
      <c r="G12" s="129">
        <v>0</v>
      </c>
      <c r="H12" s="125">
        <v>7</v>
      </c>
      <c r="I12" s="124">
        <v>3682.75</v>
      </c>
      <c r="J12" s="4">
        <v>736.55</v>
      </c>
      <c r="K12" s="4">
        <v>1057.1400000000001</v>
      </c>
      <c r="L12" s="123">
        <f t="shared" si="1"/>
        <v>2244.130000000001</v>
      </c>
    </row>
    <row r="13" spans="1:12" x14ac:dyDescent="0.25">
      <c r="A13" s="3" t="s">
        <v>360</v>
      </c>
      <c r="B13" s="3" t="s">
        <v>207</v>
      </c>
      <c r="C13" s="3" t="s">
        <v>359</v>
      </c>
      <c r="D13" s="125">
        <v>2</v>
      </c>
      <c r="E13" s="127">
        <v>0</v>
      </c>
      <c r="F13" s="126" t="s">
        <v>337</v>
      </c>
      <c r="G13" s="126">
        <v>0</v>
      </c>
      <c r="H13" s="125">
        <v>2</v>
      </c>
      <c r="I13" s="124">
        <f>SUM(E13*J13)</f>
        <v>0</v>
      </c>
      <c r="J13" s="4">
        <v>155.88</v>
      </c>
      <c r="K13" s="4">
        <v>580</v>
      </c>
      <c r="L13" s="123">
        <f t="shared" si="1"/>
        <v>848.24</v>
      </c>
    </row>
    <row r="14" spans="1:12" x14ac:dyDescent="0.25">
      <c r="A14" s="3" t="s">
        <v>356</v>
      </c>
      <c r="B14" s="3" t="s">
        <v>331</v>
      </c>
      <c r="C14" s="3" t="s">
        <v>343</v>
      </c>
      <c r="D14" s="125">
        <v>2</v>
      </c>
      <c r="E14" s="127">
        <v>1</v>
      </c>
      <c r="F14" s="126" t="s">
        <v>337</v>
      </c>
      <c r="G14" s="126">
        <v>0</v>
      </c>
      <c r="H14" s="125">
        <v>1</v>
      </c>
      <c r="I14" s="124">
        <f>SUM(E14*J14)</f>
        <v>238.96</v>
      </c>
      <c r="J14" s="128">
        <v>238.96</v>
      </c>
      <c r="K14" s="4">
        <v>289</v>
      </c>
      <c r="L14" s="123">
        <f t="shared" si="1"/>
        <v>50.039999999999992</v>
      </c>
    </row>
    <row r="15" spans="1:12" x14ac:dyDescent="0.25">
      <c r="A15" s="3" t="s">
        <v>356</v>
      </c>
      <c r="B15" s="3" t="s">
        <v>331</v>
      </c>
      <c r="C15" s="3" t="s">
        <v>358</v>
      </c>
      <c r="D15" s="125">
        <v>1</v>
      </c>
      <c r="E15" s="127">
        <v>1</v>
      </c>
      <c r="F15" s="126" t="s">
        <v>337</v>
      </c>
      <c r="G15" s="126">
        <v>0</v>
      </c>
      <c r="H15" s="125">
        <v>0</v>
      </c>
      <c r="I15" s="124">
        <f>SUM(E15*J15)</f>
        <v>122.16</v>
      </c>
      <c r="J15" s="4">
        <v>122.16</v>
      </c>
      <c r="K15" s="4">
        <v>400</v>
      </c>
      <c r="L15" s="123">
        <f t="shared" si="1"/>
        <v>0</v>
      </c>
    </row>
    <row r="16" spans="1:12" x14ac:dyDescent="0.25">
      <c r="A16" s="3" t="s">
        <v>356</v>
      </c>
      <c r="B16" s="3" t="s">
        <v>331</v>
      </c>
      <c r="C16" s="3" t="s">
        <v>357</v>
      </c>
      <c r="D16" s="125">
        <v>1</v>
      </c>
      <c r="E16" s="127">
        <v>1</v>
      </c>
      <c r="F16" s="126" t="s">
        <v>337</v>
      </c>
      <c r="G16" s="126">
        <v>0</v>
      </c>
      <c r="H16" s="125">
        <v>0</v>
      </c>
      <c r="I16" s="124">
        <f>SUM(E16*J16)</f>
        <v>405.4</v>
      </c>
      <c r="J16" s="4">
        <v>405.4</v>
      </c>
      <c r="K16" s="4">
        <v>850</v>
      </c>
      <c r="L16" s="123">
        <f t="shared" si="1"/>
        <v>0</v>
      </c>
    </row>
    <row r="17" spans="1:12" x14ac:dyDescent="0.25">
      <c r="A17" s="3" t="s">
        <v>356</v>
      </c>
      <c r="B17" s="3" t="s">
        <v>331</v>
      </c>
      <c r="C17" s="3" t="s">
        <v>355</v>
      </c>
      <c r="D17" s="125">
        <v>2</v>
      </c>
      <c r="E17" s="127">
        <v>1</v>
      </c>
      <c r="F17" s="126" t="s">
        <v>337</v>
      </c>
      <c r="G17" s="126">
        <v>0</v>
      </c>
      <c r="H17" s="125">
        <v>1</v>
      </c>
      <c r="I17" s="124">
        <f>SUM(E17*J17)</f>
        <v>596.67999999999995</v>
      </c>
      <c r="J17" s="4">
        <v>596.67999999999995</v>
      </c>
      <c r="K17" s="4">
        <v>596.67999999999995</v>
      </c>
      <c r="L17" s="123">
        <f t="shared" si="1"/>
        <v>0</v>
      </c>
    </row>
    <row r="18" spans="1:12" x14ac:dyDescent="0.25">
      <c r="A18" s="3" t="s">
        <v>354</v>
      </c>
      <c r="B18" s="3" t="s">
        <v>351</v>
      </c>
      <c r="C18" s="3" t="s">
        <v>353</v>
      </c>
      <c r="D18" s="125">
        <v>100</v>
      </c>
      <c r="E18" s="127">
        <v>100</v>
      </c>
      <c r="F18" s="126">
        <v>20</v>
      </c>
      <c r="G18" s="126">
        <v>0</v>
      </c>
      <c r="H18" s="125">
        <v>0</v>
      </c>
      <c r="I18" s="124">
        <v>568.98</v>
      </c>
      <c r="J18" s="4">
        <v>5.68</v>
      </c>
      <c r="K18" s="4">
        <v>7.5</v>
      </c>
      <c r="L18" s="123">
        <f t="shared" si="1"/>
        <v>0</v>
      </c>
    </row>
    <row r="19" spans="1:12" x14ac:dyDescent="0.25">
      <c r="A19" s="3" t="s">
        <v>352</v>
      </c>
      <c r="B19" s="3" t="s">
        <v>351</v>
      </c>
      <c r="C19" s="3" t="s">
        <v>110</v>
      </c>
      <c r="D19" s="125">
        <v>10</v>
      </c>
      <c r="E19" s="127">
        <v>0</v>
      </c>
      <c r="F19" s="126">
        <v>2</v>
      </c>
      <c r="G19" s="126">
        <v>0</v>
      </c>
      <c r="H19" s="125">
        <v>10</v>
      </c>
      <c r="I19" s="124">
        <f t="shared" ref="I19:I27" si="2">SUM(E19*J19)</f>
        <v>0</v>
      </c>
      <c r="J19" s="4">
        <v>51.9</v>
      </c>
      <c r="K19" s="4">
        <v>300</v>
      </c>
      <c r="L19" s="123">
        <f t="shared" si="1"/>
        <v>2481</v>
      </c>
    </row>
    <row r="20" spans="1:12" x14ac:dyDescent="0.25">
      <c r="A20" s="3" t="s">
        <v>350</v>
      </c>
      <c r="B20" s="3" t="s">
        <v>331</v>
      </c>
      <c r="C20" s="3" t="s">
        <v>349</v>
      </c>
      <c r="D20" s="125">
        <v>1</v>
      </c>
      <c r="E20" s="127">
        <v>1</v>
      </c>
      <c r="F20" s="126" t="s">
        <v>337</v>
      </c>
      <c r="G20" s="126">
        <v>0</v>
      </c>
      <c r="H20" s="125">
        <v>0</v>
      </c>
      <c r="I20" s="124">
        <f t="shared" si="2"/>
        <v>2237</v>
      </c>
      <c r="J20" s="4">
        <v>2237</v>
      </c>
      <c r="K20" s="4">
        <v>3250</v>
      </c>
      <c r="L20" s="123">
        <f t="shared" si="1"/>
        <v>0</v>
      </c>
    </row>
    <row r="21" spans="1:12" x14ac:dyDescent="0.25">
      <c r="A21" s="3" t="s">
        <v>348</v>
      </c>
      <c r="B21" s="3" t="s">
        <v>207</v>
      </c>
      <c r="C21" s="3" t="s">
        <v>347</v>
      </c>
      <c r="D21" s="125">
        <v>1</v>
      </c>
      <c r="E21" s="127">
        <v>1</v>
      </c>
      <c r="F21" s="126" t="s">
        <v>337</v>
      </c>
      <c r="G21" s="126">
        <v>0</v>
      </c>
      <c r="H21" s="125">
        <v>0</v>
      </c>
      <c r="I21" s="124">
        <f t="shared" si="2"/>
        <v>1249.69</v>
      </c>
      <c r="J21" s="4">
        <v>1249.69</v>
      </c>
      <c r="K21" s="4">
        <v>1950</v>
      </c>
      <c r="L21" s="123">
        <f t="shared" si="1"/>
        <v>0</v>
      </c>
    </row>
    <row r="22" spans="1:12" x14ac:dyDescent="0.25">
      <c r="A22" s="3" t="s">
        <v>346</v>
      </c>
      <c r="B22" s="3" t="s">
        <v>344</v>
      </c>
      <c r="C22" s="3" t="s">
        <v>343</v>
      </c>
      <c r="D22" s="125">
        <v>9</v>
      </c>
      <c r="E22" s="127">
        <v>5</v>
      </c>
      <c r="F22" s="126" t="s">
        <v>337</v>
      </c>
      <c r="G22" s="126">
        <v>0</v>
      </c>
      <c r="H22" s="125">
        <v>0</v>
      </c>
      <c r="I22" s="124">
        <f t="shared" si="2"/>
        <v>1114.0999999999999</v>
      </c>
      <c r="J22" s="4">
        <v>222.82</v>
      </c>
      <c r="K22" s="4">
        <v>450</v>
      </c>
      <c r="L22" s="123">
        <f t="shared" si="1"/>
        <v>0</v>
      </c>
    </row>
    <row r="23" spans="1:12" x14ac:dyDescent="0.25">
      <c r="A23" s="3" t="s">
        <v>345</v>
      </c>
      <c r="B23" s="3" t="s">
        <v>344</v>
      </c>
      <c r="C23" s="3" t="s">
        <v>343</v>
      </c>
      <c r="D23" s="125">
        <v>1</v>
      </c>
      <c r="E23" s="127">
        <v>0</v>
      </c>
      <c r="F23" s="126" t="s">
        <v>337</v>
      </c>
      <c r="G23" s="126">
        <v>0</v>
      </c>
      <c r="H23" s="125">
        <v>1</v>
      </c>
      <c r="I23" s="124">
        <f t="shared" si="2"/>
        <v>0</v>
      </c>
      <c r="J23" s="4">
        <v>317.72000000000003</v>
      </c>
      <c r="K23" s="4">
        <v>467.72</v>
      </c>
      <c r="L23" s="123">
        <f t="shared" si="1"/>
        <v>150</v>
      </c>
    </row>
    <row r="24" spans="1:12" x14ac:dyDescent="0.25">
      <c r="A24" s="3" t="s">
        <v>342</v>
      </c>
      <c r="B24" s="3" t="s">
        <v>207</v>
      </c>
      <c r="C24" s="3" t="s">
        <v>340</v>
      </c>
      <c r="D24" s="125">
        <v>5</v>
      </c>
      <c r="E24" s="127">
        <v>4</v>
      </c>
      <c r="F24" s="126" t="s">
        <v>337</v>
      </c>
      <c r="G24" s="126">
        <v>0</v>
      </c>
      <c r="H24" s="125">
        <v>1</v>
      </c>
      <c r="I24" s="124">
        <f t="shared" si="2"/>
        <v>1475.2</v>
      </c>
      <c r="J24" s="4">
        <v>368.8</v>
      </c>
      <c r="K24" s="4">
        <v>600</v>
      </c>
      <c r="L24" s="123">
        <f t="shared" si="1"/>
        <v>231.2</v>
      </c>
    </row>
    <row r="25" spans="1:12" x14ac:dyDescent="0.25">
      <c r="A25" s="3" t="s">
        <v>341</v>
      </c>
      <c r="B25" s="3" t="s">
        <v>207</v>
      </c>
      <c r="C25" s="3" t="s">
        <v>340</v>
      </c>
      <c r="D25" s="125">
        <v>3</v>
      </c>
      <c r="E25" s="127">
        <v>3</v>
      </c>
      <c r="F25" s="126" t="s">
        <v>337</v>
      </c>
      <c r="G25" s="126">
        <v>0</v>
      </c>
      <c r="H25" s="125">
        <v>0</v>
      </c>
      <c r="I25" s="124">
        <f t="shared" si="2"/>
        <v>1286.43</v>
      </c>
      <c r="J25" s="4">
        <v>428.81</v>
      </c>
      <c r="K25" s="4">
        <v>675</v>
      </c>
      <c r="L25" s="123">
        <f t="shared" si="1"/>
        <v>0</v>
      </c>
    </row>
    <row r="26" spans="1:12" x14ac:dyDescent="0.25">
      <c r="A26" s="3" t="s">
        <v>42</v>
      </c>
      <c r="B26" s="3" t="s">
        <v>207</v>
      </c>
      <c r="C26" s="3" t="s">
        <v>338</v>
      </c>
      <c r="D26" s="125">
        <v>3</v>
      </c>
      <c r="E26" s="127">
        <v>0</v>
      </c>
      <c r="F26" s="126" t="s">
        <v>337</v>
      </c>
      <c r="G26" s="126">
        <v>0</v>
      </c>
      <c r="H26" s="125">
        <v>3</v>
      </c>
      <c r="I26" s="124">
        <f t="shared" si="2"/>
        <v>0</v>
      </c>
      <c r="J26" s="4">
        <v>547.1</v>
      </c>
      <c r="K26" s="4">
        <v>1233.33</v>
      </c>
      <c r="L26" s="123">
        <f t="shared" si="1"/>
        <v>2058.6899999999996</v>
      </c>
    </row>
    <row r="27" spans="1:12" x14ac:dyDescent="0.25">
      <c r="A27" s="3" t="s">
        <v>339</v>
      </c>
      <c r="B27" s="3" t="s">
        <v>207</v>
      </c>
      <c r="C27" s="3" t="s">
        <v>338</v>
      </c>
      <c r="D27" s="125">
        <v>3</v>
      </c>
      <c r="E27" s="127">
        <v>3</v>
      </c>
      <c r="F27" s="126" t="s">
        <v>337</v>
      </c>
      <c r="G27" s="126">
        <v>0</v>
      </c>
      <c r="H27" s="125">
        <v>0</v>
      </c>
      <c r="I27" s="124">
        <f t="shared" si="2"/>
        <v>2112.81</v>
      </c>
      <c r="J27" s="4">
        <v>704.27</v>
      </c>
      <c r="K27" s="4">
        <v>1300</v>
      </c>
      <c r="L27" s="123">
        <f t="shared" si="1"/>
        <v>0</v>
      </c>
    </row>
    <row r="28" spans="1:12" x14ac:dyDescent="0.25">
      <c r="A28" s="3" t="s">
        <v>336</v>
      </c>
      <c r="B28" s="3" t="s">
        <v>331</v>
      </c>
      <c r="C28" s="3" t="s">
        <v>109</v>
      </c>
      <c r="D28" s="125">
        <v>1495</v>
      </c>
      <c r="E28" s="127">
        <v>1395</v>
      </c>
      <c r="F28" s="126" t="s">
        <v>330</v>
      </c>
      <c r="G28" s="126">
        <v>0</v>
      </c>
      <c r="H28" s="125">
        <v>100</v>
      </c>
      <c r="I28" s="124">
        <v>4084.16</v>
      </c>
      <c r="J28" s="4">
        <v>2.72</v>
      </c>
      <c r="K28" s="4">
        <v>9</v>
      </c>
      <c r="L28" s="123">
        <f t="shared" si="1"/>
        <v>627.99999999999989</v>
      </c>
    </row>
    <row r="29" spans="1:12" x14ac:dyDescent="0.25">
      <c r="A29" s="3" t="s">
        <v>335</v>
      </c>
      <c r="B29" s="3" t="s">
        <v>334</v>
      </c>
      <c r="C29" s="3" t="s">
        <v>333</v>
      </c>
      <c r="D29" s="125">
        <v>0</v>
      </c>
      <c r="E29" s="127">
        <v>0</v>
      </c>
      <c r="F29" s="126">
        <v>100</v>
      </c>
      <c r="G29" s="126">
        <v>500</v>
      </c>
      <c r="H29" s="125">
        <v>0</v>
      </c>
      <c r="I29" s="124"/>
      <c r="J29" s="4"/>
      <c r="K29" s="4"/>
      <c r="L29" s="123"/>
    </row>
    <row r="30" spans="1:12" x14ac:dyDescent="0.25">
      <c r="A30" s="3" t="s">
        <v>332</v>
      </c>
      <c r="B30" s="3" t="s">
        <v>331</v>
      </c>
      <c r="C30" s="3" t="s">
        <v>109</v>
      </c>
      <c r="D30" s="125">
        <v>1995</v>
      </c>
      <c r="E30" s="127">
        <v>950</v>
      </c>
      <c r="F30" s="126" t="s">
        <v>330</v>
      </c>
      <c r="G30" s="126">
        <v>0</v>
      </c>
      <c r="H30" s="125">
        <v>1045</v>
      </c>
      <c r="I30" s="124">
        <f>SUM(E30*J30)</f>
        <v>5048.2002499999999</v>
      </c>
      <c r="J30" s="4">
        <v>5.3138949999999996</v>
      </c>
      <c r="K30" s="4">
        <v>13.92</v>
      </c>
      <c r="L30" s="123">
        <f>(K30-J30)*H30</f>
        <v>8993.3797249999989</v>
      </c>
    </row>
    <row r="31" spans="1:12" x14ac:dyDescent="0.25">
      <c r="A31" s="117" t="s">
        <v>329</v>
      </c>
      <c r="B31" s="122"/>
      <c r="C31" s="121"/>
      <c r="D31" s="119">
        <f>SUM(D2:D30)</f>
        <v>4118</v>
      </c>
      <c r="E31" s="120">
        <f>SUM(E2:E30)</f>
        <v>2536</v>
      </c>
      <c r="F31" s="119"/>
      <c r="G31" s="119"/>
      <c r="H31" s="119">
        <f>SUM(H2:H30)</f>
        <v>1578</v>
      </c>
      <c r="I31" s="118">
        <f>SUM(I2:I30)</f>
        <v>33474.720249999998</v>
      </c>
      <c r="J31" s="117"/>
      <c r="K31" s="117"/>
      <c r="L31" s="116">
        <f>SUM(L2:L30)</f>
        <v>152883.46972500003</v>
      </c>
    </row>
    <row r="32" spans="1:12" x14ac:dyDescent="0.25">
      <c r="E32" s="115"/>
      <c r="I32" s="7"/>
      <c r="L32" s="114"/>
    </row>
    <row r="33" spans="1:12" x14ac:dyDescent="0.25">
      <c r="E33" s="115"/>
      <c r="I33" s="7"/>
      <c r="L33" s="114"/>
    </row>
    <row r="34" spans="1:12" x14ac:dyDescent="0.25">
      <c r="E34" s="115"/>
      <c r="I34" s="7"/>
      <c r="L34" s="114"/>
    </row>
    <row r="35" spans="1:12" x14ac:dyDescent="0.25">
      <c r="E35" s="115"/>
      <c r="I35" s="7"/>
      <c r="L35" s="114"/>
    </row>
    <row r="36" spans="1:12" x14ac:dyDescent="0.25">
      <c r="E36" s="115"/>
      <c r="I36" s="7"/>
      <c r="L36" s="114"/>
    </row>
    <row r="37" spans="1:12" x14ac:dyDescent="0.25">
      <c r="E37" s="115"/>
      <c r="I37" s="7"/>
      <c r="L37" s="114"/>
    </row>
    <row r="38" spans="1:12" x14ac:dyDescent="0.25">
      <c r="E38" s="115"/>
      <c r="I38" s="7"/>
      <c r="L38" s="114"/>
    </row>
    <row r="39" spans="1:12" x14ac:dyDescent="0.25">
      <c r="E39" s="115"/>
      <c r="I39" s="7"/>
      <c r="L39" s="114"/>
    </row>
    <row r="40" spans="1:12" x14ac:dyDescent="0.25">
      <c r="E40" s="115"/>
      <c r="I40" s="7"/>
      <c r="L40" s="114"/>
    </row>
    <row r="41" spans="1:12" x14ac:dyDescent="0.25">
      <c r="E41" s="115"/>
      <c r="I41" s="7"/>
      <c r="L41" s="114"/>
    </row>
    <row r="42" spans="1:12" x14ac:dyDescent="0.25">
      <c r="E42" s="115"/>
      <c r="I42" s="7"/>
      <c r="L42" s="114"/>
    </row>
    <row r="43" spans="1:12" x14ac:dyDescent="0.25">
      <c r="E43" s="115"/>
      <c r="I43" s="7"/>
      <c r="L43" s="114"/>
    </row>
    <row r="44" spans="1:12" x14ac:dyDescent="0.25">
      <c r="E44" s="115"/>
      <c r="I44" s="7"/>
      <c r="L44" s="114"/>
    </row>
    <row r="45" spans="1:12" x14ac:dyDescent="0.25">
      <c r="E45" s="115"/>
      <c r="I45" s="7"/>
      <c r="L45" s="114"/>
    </row>
    <row r="46" spans="1:12" x14ac:dyDescent="0.25">
      <c r="E46" s="115"/>
      <c r="I46" s="7"/>
      <c r="L46" s="114"/>
    </row>
    <row r="47" spans="1:12" x14ac:dyDescent="0.25">
      <c r="E47" s="115"/>
      <c r="I47" s="7"/>
      <c r="L47" s="114"/>
    </row>
    <row r="48" spans="1:12" x14ac:dyDescent="0.25">
      <c r="E48" s="115"/>
      <c r="I48" s="7"/>
      <c r="L48" s="114"/>
    </row>
    <row r="49" spans="5:12" x14ac:dyDescent="0.25">
      <c r="E49" s="115"/>
      <c r="I49" s="7"/>
      <c r="L49" s="114"/>
    </row>
    <row r="50" spans="5:12" x14ac:dyDescent="0.25">
      <c r="E50" s="115"/>
      <c r="I50" s="7"/>
      <c r="L50" s="114"/>
    </row>
    <row r="51" spans="5:12" x14ac:dyDescent="0.25">
      <c r="E51" s="115"/>
      <c r="I51" s="7"/>
      <c r="L51" s="114"/>
    </row>
    <row r="52" spans="5:12" x14ac:dyDescent="0.25">
      <c r="E52" s="115"/>
      <c r="I52" s="7"/>
      <c r="L52" s="114"/>
    </row>
    <row r="53" spans="5:12" x14ac:dyDescent="0.25">
      <c r="E53" s="115"/>
      <c r="I53" s="7"/>
      <c r="L53" s="114"/>
    </row>
    <row r="54" spans="5:12" x14ac:dyDescent="0.25">
      <c r="E54" s="115"/>
      <c r="I54" s="7"/>
      <c r="L54" s="114"/>
    </row>
    <row r="55" spans="5:12" x14ac:dyDescent="0.25">
      <c r="E55" s="115"/>
      <c r="I55" s="7"/>
      <c r="L55" s="114"/>
    </row>
    <row r="56" spans="5:12" x14ac:dyDescent="0.25">
      <c r="E56" s="115"/>
      <c r="I56" s="7"/>
      <c r="L56" s="114"/>
    </row>
    <row r="57" spans="5:12" x14ac:dyDescent="0.25">
      <c r="E57" s="115"/>
      <c r="I57" s="7"/>
      <c r="L57" s="114"/>
    </row>
    <row r="58" spans="5:12" x14ac:dyDescent="0.25">
      <c r="E58" s="115"/>
      <c r="I58" s="7"/>
      <c r="L58" s="114"/>
    </row>
    <row r="59" spans="5:12" x14ac:dyDescent="0.25">
      <c r="E59" s="115"/>
      <c r="I59" s="7"/>
      <c r="L59" s="114"/>
    </row>
    <row r="60" spans="5:12" x14ac:dyDescent="0.25">
      <c r="E60" s="115"/>
      <c r="I60" s="7"/>
      <c r="L60" s="114"/>
    </row>
    <row r="61" spans="5:12" x14ac:dyDescent="0.25">
      <c r="E61" s="115"/>
      <c r="I61" s="7"/>
      <c r="L61" s="114"/>
    </row>
    <row r="62" spans="5:12" x14ac:dyDescent="0.25">
      <c r="E62" s="115"/>
      <c r="I62" s="7"/>
      <c r="L62" s="114"/>
    </row>
    <row r="63" spans="5:12" x14ac:dyDescent="0.25">
      <c r="E63" s="115"/>
      <c r="I63" s="7"/>
      <c r="L63" s="114"/>
    </row>
    <row r="64" spans="5:12" x14ac:dyDescent="0.25">
      <c r="E64" s="115"/>
      <c r="I64" s="7"/>
      <c r="L64" s="114"/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1007-0952-410A-8A4F-5599940CD02B}">
  <dimension ref="A1:K11"/>
  <sheetViews>
    <sheetView workbookViewId="0">
      <selection activeCell="H31" sqref="H31"/>
    </sheetView>
  </sheetViews>
  <sheetFormatPr defaultRowHeight="15" x14ac:dyDescent="0.25"/>
  <cols>
    <col min="1" max="1" width="20.7109375" style="32" customWidth="1"/>
    <col min="2" max="2" width="15.7109375" customWidth="1"/>
    <col min="3" max="3" width="19.42578125" style="32" customWidth="1"/>
    <col min="4" max="5" width="18.28515625" style="32" customWidth="1"/>
    <col min="6" max="6" width="24.140625" customWidth="1"/>
    <col min="7" max="7" width="18.42578125" style="7" customWidth="1"/>
    <col min="8" max="8" width="18.7109375" customWidth="1"/>
    <col min="9" max="9" width="21.140625" customWidth="1"/>
    <col min="10" max="10" width="18.7109375" customWidth="1"/>
    <col min="11" max="11" width="32.85546875" customWidth="1"/>
  </cols>
  <sheetData>
    <row r="1" spans="1:11" x14ac:dyDescent="0.25">
      <c r="A1" s="137" t="s">
        <v>382</v>
      </c>
      <c r="B1" s="137" t="s">
        <v>381</v>
      </c>
      <c r="C1" s="137" t="s">
        <v>380</v>
      </c>
      <c r="D1" s="137" t="s">
        <v>394</v>
      </c>
      <c r="E1" s="137" t="s">
        <v>393</v>
      </c>
      <c r="F1" s="137" t="s">
        <v>392</v>
      </c>
      <c r="G1" s="138" t="s">
        <v>391</v>
      </c>
      <c r="H1" s="137" t="s">
        <v>3</v>
      </c>
      <c r="I1" s="137" t="s">
        <v>373</v>
      </c>
      <c r="J1" s="137" t="s">
        <v>8</v>
      </c>
      <c r="K1" s="137" t="s">
        <v>390</v>
      </c>
    </row>
    <row r="2" spans="1:11" x14ac:dyDescent="0.25">
      <c r="A2" s="3" t="s">
        <v>99</v>
      </c>
      <c r="B2" s="3" t="s">
        <v>366</v>
      </c>
      <c r="C2" s="3" t="s">
        <v>372</v>
      </c>
      <c r="D2" s="3">
        <v>25</v>
      </c>
      <c r="E2" s="133">
        <v>46225</v>
      </c>
      <c r="F2" s="133">
        <v>46256</v>
      </c>
      <c r="G2" s="4">
        <v>1971</v>
      </c>
      <c r="H2" s="136"/>
      <c r="I2" s="136"/>
      <c r="J2" s="135"/>
      <c r="K2" s="134"/>
    </row>
    <row r="3" spans="1:11" x14ac:dyDescent="0.25">
      <c r="A3" s="3" t="s">
        <v>99</v>
      </c>
      <c r="B3" s="3" t="s">
        <v>366</v>
      </c>
      <c r="C3" s="3" t="s">
        <v>371</v>
      </c>
      <c r="D3" s="3">
        <v>50</v>
      </c>
      <c r="E3" s="133">
        <v>46225</v>
      </c>
      <c r="F3" s="133">
        <v>46256</v>
      </c>
      <c r="G3" s="4">
        <v>19345</v>
      </c>
      <c r="H3" s="136"/>
      <c r="I3" s="136"/>
      <c r="J3" s="135"/>
      <c r="K3" s="3"/>
    </row>
    <row r="4" spans="1:11" x14ac:dyDescent="0.25">
      <c r="A4" s="3" t="s">
        <v>99</v>
      </c>
      <c r="B4" s="3" t="s">
        <v>366</v>
      </c>
      <c r="C4" s="3" t="s">
        <v>370</v>
      </c>
      <c r="D4" s="3">
        <v>50</v>
      </c>
      <c r="E4" s="133">
        <v>46225</v>
      </c>
      <c r="F4" s="133">
        <v>46256</v>
      </c>
      <c r="G4" s="4">
        <v>28068.5</v>
      </c>
      <c r="H4" s="136"/>
      <c r="I4" s="136"/>
      <c r="J4" s="135"/>
      <c r="K4" s="134"/>
    </row>
    <row r="5" spans="1:11" x14ac:dyDescent="0.25">
      <c r="A5" s="3" t="s">
        <v>99</v>
      </c>
      <c r="B5" s="3" t="s">
        <v>366</v>
      </c>
      <c r="C5" s="3" t="s">
        <v>369</v>
      </c>
      <c r="D5" s="3">
        <v>50</v>
      </c>
      <c r="E5" s="133">
        <v>46225</v>
      </c>
      <c r="F5" s="133">
        <v>46256</v>
      </c>
      <c r="G5" s="4">
        <v>37230</v>
      </c>
      <c r="H5" s="136"/>
      <c r="I5" s="136"/>
      <c r="J5" s="135"/>
      <c r="K5" s="134"/>
    </row>
    <row r="6" spans="1:11" x14ac:dyDescent="0.25">
      <c r="A6" s="3" t="s">
        <v>52</v>
      </c>
      <c r="B6" s="3" t="s">
        <v>389</v>
      </c>
      <c r="C6" s="3" t="s">
        <v>388</v>
      </c>
      <c r="D6" s="3" t="s">
        <v>330</v>
      </c>
      <c r="E6" s="133">
        <v>46225</v>
      </c>
      <c r="F6" s="133">
        <v>46256</v>
      </c>
      <c r="G6" s="11">
        <v>1777.78</v>
      </c>
      <c r="H6" s="99"/>
      <c r="I6" s="99"/>
      <c r="J6" s="99"/>
      <c r="K6" s="99"/>
    </row>
    <row r="7" spans="1:11" x14ac:dyDescent="0.25">
      <c r="A7" s="3" t="s">
        <v>387</v>
      </c>
      <c r="B7" s="3" t="s">
        <v>386</v>
      </c>
      <c r="C7" s="3" t="s">
        <v>385</v>
      </c>
      <c r="D7" s="3">
        <v>1</v>
      </c>
      <c r="E7" s="133">
        <v>46225</v>
      </c>
      <c r="F7" s="133">
        <v>46256</v>
      </c>
      <c r="G7" s="11"/>
      <c r="H7" s="99"/>
      <c r="I7" s="99"/>
      <c r="J7" s="99"/>
      <c r="K7" s="99"/>
    </row>
    <row r="8" spans="1:11" x14ac:dyDescent="0.25">
      <c r="A8" s="3" t="s">
        <v>384</v>
      </c>
      <c r="B8" s="3" t="s">
        <v>366</v>
      </c>
      <c r="C8" s="3" t="s">
        <v>383</v>
      </c>
      <c r="D8" s="3">
        <v>17</v>
      </c>
      <c r="E8" s="133">
        <v>46225</v>
      </c>
      <c r="F8" s="133">
        <v>46256</v>
      </c>
      <c r="G8" s="11"/>
      <c r="H8" s="99"/>
      <c r="I8" s="99"/>
      <c r="J8" s="99"/>
      <c r="K8" s="99"/>
    </row>
    <row r="9" spans="1:11" x14ac:dyDescent="0.25">
      <c r="A9" s="3"/>
      <c r="B9" s="99"/>
      <c r="C9" s="3"/>
      <c r="D9" s="3"/>
      <c r="E9" s="3"/>
      <c r="F9" s="99"/>
      <c r="G9" s="11"/>
      <c r="H9" s="99"/>
      <c r="I9" s="99"/>
      <c r="J9" s="99"/>
      <c r="K9" s="99"/>
    </row>
    <row r="10" spans="1:11" x14ac:dyDescent="0.25">
      <c r="A10" s="3"/>
      <c r="B10" s="99"/>
      <c r="C10" s="3"/>
      <c r="D10" s="3"/>
      <c r="E10" s="3"/>
      <c r="F10" s="99"/>
      <c r="G10" s="11"/>
      <c r="H10" s="99"/>
      <c r="I10" s="99"/>
      <c r="J10" s="99"/>
      <c r="K10" s="99"/>
    </row>
    <row r="11" spans="1:11" x14ac:dyDescent="0.25">
      <c r="A11" s="3"/>
      <c r="B11" s="99"/>
      <c r="C11" s="3"/>
      <c r="D11" s="3"/>
      <c r="E11" s="3"/>
      <c r="F11" s="99"/>
      <c r="G11" s="11"/>
      <c r="H11" s="99"/>
      <c r="I11" s="99"/>
      <c r="J11" s="99"/>
      <c r="K11" s="99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94A2-1632-47C5-AA37-868F81FB9F24}">
  <dimension ref="A1:K22"/>
  <sheetViews>
    <sheetView tabSelected="1" workbookViewId="0">
      <selection activeCell="M10" sqref="M10"/>
    </sheetView>
  </sheetViews>
  <sheetFormatPr defaultRowHeight="15" x14ac:dyDescent="0.25"/>
  <cols>
    <col min="1" max="1" width="29.5703125" customWidth="1"/>
    <col min="2" max="2" width="16.28515625" customWidth="1"/>
    <col min="3" max="3" width="15.28515625" customWidth="1"/>
    <col min="4" max="4" width="30.28515625" customWidth="1"/>
    <col min="5" max="5" width="18.140625" customWidth="1"/>
    <col min="6" max="9" width="15.7109375" customWidth="1"/>
    <col min="10" max="10" width="26.140625" customWidth="1"/>
    <col min="11" max="11" width="18.85546875" customWidth="1"/>
    <col min="12" max="26" width="15.7109375" customWidth="1"/>
  </cols>
  <sheetData>
    <row r="1" spans="1:11" ht="21" x14ac:dyDescent="0.35">
      <c r="A1" s="204" t="s">
        <v>423</v>
      </c>
      <c r="B1" s="204"/>
      <c r="C1" s="204"/>
      <c r="D1" s="204"/>
    </row>
    <row r="2" spans="1:11" x14ac:dyDescent="0.25">
      <c r="F2" s="201" t="s">
        <v>422</v>
      </c>
      <c r="G2" s="201"/>
      <c r="H2" s="201"/>
      <c r="I2" s="201"/>
    </row>
    <row r="3" spans="1:11" x14ac:dyDescent="0.25">
      <c r="A3" s="148" t="s">
        <v>421</v>
      </c>
      <c r="E3" s="148" t="s">
        <v>420</v>
      </c>
      <c r="F3" s="148" t="s">
        <v>2</v>
      </c>
      <c r="G3" s="148" t="s">
        <v>419</v>
      </c>
      <c r="H3" s="148" t="s">
        <v>418</v>
      </c>
      <c r="I3" s="148" t="s">
        <v>417</v>
      </c>
      <c r="J3" s="148" t="s">
        <v>416</v>
      </c>
    </row>
    <row r="4" spans="1:11" x14ac:dyDescent="0.25">
      <c r="A4" s="148" t="s">
        <v>415</v>
      </c>
      <c r="B4" s="148" t="s">
        <v>414</v>
      </c>
      <c r="C4" s="152" t="s">
        <v>8</v>
      </c>
      <c r="D4" s="151"/>
      <c r="E4" s="3" t="s">
        <v>410</v>
      </c>
      <c r="F4" s="3">
        <v>7</v>
      </c>
      <c r="G4" s="3" t="s">
        <v>404</v>
      </c>
      <c r="H4" s="4">
        <v>5950</v>
      </c>
      <c r="I4" s="4">
        <v>1750</v>
      </c>
      <c r="J4" s="4">
        <v>4200</v>
      </c>
    </row>
    <row r="5" spans="1:11" x14ac:dyDescent="0.25">
      <c r="A5" s="99" t="s">
        <v>413</v>
      </c>
      <c r="B5" s="4">
        <v>11650</v>
      </c>
      <c r="C5" s="25">
        <v>9150</v>
      </c>
      <c r="D5" s="32"/>
      <c r="E5" s="3" t="s">
        <v>410</v>
      </c>
      <c r="F5" s="3">
        <v>1</v>
      </c>
      <c r="G5" s="3" t="s">
        <v>396</v>
      </c>
      <c r="H5" s="4">
        <v>1900</v>
      </c>
      <c r="I5" s="4">
        <v>250</v>
      </c>
      <c r="J5" s="4">
        <v>1650</v>
      </c>
    </row>
    <row r="6" spans="1:11" x14ac:dyDescent="0.25">
      <c r="A6" s="99" t="s">
        <v>412</v>
      </c>
      <c r="B6" s="4">
        <v>7450</v>
      </c>
      <c r="C6" s="25">
        <v>5200</v>
      </c>
      <c r="D6" s="32"/>
      <c r="E6" s="3" t="s">
        <v>410</v>
      </c>
      <c r="F6" s="3">
        <v>1</v>
      </c>
      <c r="G6" s="3" t="s">
        <v>401</v>
      </c>
      <c r="H6" s="4">
        <v>1900</v>
      </c>
      <c r="I6" s="4">
        <v>250</v>
      </c>
      <c r="J6" s="4">
        <v>1650</v>
      </c>
    </row>
    <row r="7" spans="1:11" x14ac:dyDescent="0.25">
      <c r="A7" s="99" t="s">
        <v>411</v>
      </c>
      <c r="B7" s="4">
        <v>31950</v>
      </c>
      <c r="C7" s="25">
        <v>24950</v>
      </c>
      <c r="D7" s="32"/>
      <c r="E7" s="3" t="s">
        <v>410</v>
      </c>
      <c r="F7" s="3">
        <v>1</v>
      </c>
      <c r="G7" s="3" t="s">
        <v>398</v>
      </c>
      <c r="H7" s="4">
        <v>1900</v>
      </c>
      <c r="I7" s="4">
        <v>250</v>
      </c>
      <c r="J7" s="4">
        <v>1650</v>
      </c>
    </row>
    <row r="8" spans="1:11" x14ac:dyDescent="0.25">
      <c r="D8" s="32"/>
      <c r="E8" s="3" t="s">
        <v>409</v>
      </c>
      <c r="F8" s="3">
        <v>17</v>
      </c>
      <c r="G8" s="3" t="s">
        <v>404</v>
      </c>
      <c r="H8" s="4">
        <v>13650</v>
      </c>
      <c r="I8" s="4">
        <v>4250</v>
      </c>
      <c r="J8" s="4">
        <v>9400</v>
      </c>
    </row>
    <row r="9" spans="1:11" x14ac:dyDescent="0.25">
      <c r="D9" s="32"/>
      <c r="E9" s="3" t="s">
        <v>409</v>
      </c>
      <c r="F9" s="3">
        <v>9</v>
      </c>
      <c r="G9" s="3" t="s">
        <v>403</v>
      </c>
      <c r="H9" s="4">
        <v>15500</v>
      </c>
      <c r="I9" s="4">
        <v>2250</v>
      </c>
      <c r="J9" s="4">
        <v>13250</v>
      </c>
    </row>
    <row r="10" spans="1:11" x14ac:dyDescent="0.25">
      <c r="D10" s="32"/>
      <c r="E10" s="3" t="s">
        <v>409</v>
      </c>
      <c r="F10" s="3">
        <v>2</v>
      </c>
      <c r="G10" s="3" t="s">
        <v>401</v>
      </c>
      <c r="H10" s="4">
        <v>2800</v>
      </c>
      <c r="I10" s="4">
        <v>500</v>
      </c>
      <c r="J10" s="4">
        <v>2300</v>
      </c>
    </row>
    <row r="11" spans="1:11" ht="15.75" thickBot="1" x14ac:dyDescent="0.3">
      <c r="D11" s="32"/>
      <c r="E11" s="73" t="s">
        <v>408</v>
      </c>
      <c r="F11" s="73">
        <v>9</v>
      </c>
      <c r="G11" s="73" t="s">
        <v>404</v>
      </c>
      <c r="H11" s="150">
        <v>7450</v>
      </c>
      <c r="I11" s="150">
        <v>2250</v>
      </c>
      <c r="J11" s="4">
        <v>5200</v>
      </c>
    </row>
    <row r="12" spans="1:11" ht="15.75" thickBot="1" x14ac:dyDescent="0.3">
      <c r="A12" s="148" t="s">
        <v>407</v>
      </c>
      <c r="D12" s="32"/>
      <c r="E12" s="202" t="s">
        <v>406</v>
      </c>
      <c r="F12" s="203"/>
      <c r="G12" s="203"/>
      <c r="H12" s="203"/>
      <c r="I12" s="149">
        <f>SUM(I4:I11)</f>
        <v>11750</v>
      </c>
      <c r="J12" s="32"/>
    </row>
    <row r="13" spans="1:11" x14ac:dyDescent="0.25">
      <c r="A13" s="148" t="s">
        <v>340</v>
      </c>
      <c r="B13" s="148" t="s">
        <v>405</v>
      </c>
      <c r="D13" s="32"/>
      <c r="E13" s="32"/>
      <c r="F13" s="32"/>
      <c r="G13" s="32"/>
      <c r="H13" s="32"/>
      <c r="I13" s="32"/>
    </row>
    <row r="14" spans="1:11" x14ac:dyDescent="0.25">
      <c r="A14" s="99" t="s">
        <v>404</v>
      </c>
      <c r="B14" s="4">
        <v>27050</v>
      </c>
      <c r="D14" s="32"/>
      <c r="E14" s="32"/>
      <c r="F14" s="32"/>
      <c r="G14" s="32"/>
      <c r="H14" s="32"/>
      <c r="I14" s="32"/>
    </row>
    <row r="15" spans="1:11" ht="15.75" thickBot="1" x14ac:dyDescent="0.3">
      <c r="A15" s="99" t="s">
        <v>403</v>
      </c>
      <c r="B15" s="4">
        <v>15500</v>
      </c>
      <c r="D15" s="147" t="s">
        <v>402</v>
      </c>
      <c r="E15" s="146">
        <v>6500</v>
      </c>
      <c r="F15" s="32"/>
      <c r="G15" s="32"/>
      <c r="H15" s="32"/>
      <c r="I15" s="32"/>
    </row>
    <row r="16" spans="1:11" x14ac:dyDescent="0.25">
      <c r="A16" s="99" t="s">
        <v>401</v>
      </c>
      <c r="B16" s="4">
        <v>4700</v>
      </c>
      <c r="D16" s="147" t="s">
        <v>400</v>
      </c>
      <c r="E16" s="146">
        <v>5000</v>
      </c>
      <c r="F16" s="32"/>
      <c r="G16" s="32"/>
      <c r="H16" s="32"/>
      <c r="I16" s="32"/>
      <c r="J16" s="142" t="s">
        <v>399</v>
      </c>
      <c r="K16" s="145">
        <f>SUM(J4:J11)</f>
        <v>39300</v>
      </c>
    </row>
    <row r="17" spans="1:11" ht="15.75" thickBot="1" x14ac:dyDescent="0.3">
      <c r="A17" s="99" t="s">
        <v>398</v>
      </c>
      <c r="B17" s="4">
        <v>1900</v>
      </c>
      <c r="D17" s="32"/>
      <c r="E17" s="32"/>
      <c r="F17" s="32"/>
      <c r="G17" s="32"/>
      <c r="H17" s="32"/>
      <c r="I17" s="32"/>
      <c r="J17" s="142" t="s">
        <v>397</v>
      </c>
      <c r="K17" s="144">
        <f>SUM(E15:E16)</f>
        <v>11500</v>
      </c>
    </row>
    <row r="18" spans="1:11" ht="15.75" thickBot="1" x14ac:dyDescent="0.3">
      <c r="A18" s="99" t="s">
        <v>396</v>
      </c>
      <c r="B18" s="4">
        <v>1900</v>
      </c>
      <c r="J18" s="142"/>
      <c r="K18" s="32"/>
    </row>
    <row r="19" spans="1:11" ht="19.5" thickBot="1" x14ac:dyDescent="0.35">
      <c r="J19" s="140" t="s">
        <v>395</v>
      </c>
      <c r="K19" s="143">
        <f>K16-K17</f>
        <v>27800</v>
      </c>
    </row>
    <row r="20" spans="1:11" x14ac:dyDescent="0.25">
      <c r="J20" s="142"/>
      <c r="K20" s="141"/>
    </row>
    <row r="21" spans="1:11" x14ac:dyDescent="0.25">
      <c r="J21" s="32"/>
      <c r="K21" s="32"/>
    </row>
    <row r="22" spans="1:11" ht="18.75" x14ac:dyDescent="0.3">
      <c r="J22" s="140"/>
      <c r="K22" s="139"/>
    </row>
  </sheetData>
  <mergeCells count="3">
    <mergeCell ref="F2:I2"/>
    <mergeCell ref="E12:H12"/>
    <mergeCell ref="A1:D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Goal- 2026</vt:lpstr>
      <vt:lpstr>Due-2025</vt:lpstr>
      <vt:lpstr>Jan - 2026</vt:lpstr>
      <vt:lpstr>Feb -2026</vt:lpstr>
      <vt:lpstr>Mar - 2026</vt:lpstr>
      <vt:lpstr>Apr -2026</vt:lpstr>
      <vt:lpstr>May - 2026</vt:lpstr>
      <vt:lpstr>June -2026</vt:lpstr>
      <vt:lpstr>Product sales details</vt:lpstr>
      <vt:lpstr>New Order Status</vt:lpstr>
      <vt:lpstr>GITCO - Calibration Certificati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</dc:creator>
  <cp:lastModifiedBy>DELL</cp:lastModifiedBy>
  <cp:lastPrinted>2026-06-28T15:07:58Z</cp:lastPrinted>
  <dcterms:created xsi:type="dcterms:W3CDTF">2026-02-03T14:22:26Z</dcterms:created>
  <dcterms:modified xsi:type="dcterms:W3CDTF">2026-09-19T07:03:35Z</dcterms:modified>
</cp:coreProperties>
</file>