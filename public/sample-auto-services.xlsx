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DELL\Desktop\Dashboard2\Auto Services\"/>
    </mc:Choice>
  </mc:AlternateContent>
  <xr:revisionPtr revIDLastSave="0" documentId="13_ncr:1_{9CB8FCEA-302F-4BBD-9D18-2E70BCC571FF}" xr6:coauthVersionLast="47" xr6:coauthVersionMax="47" xr10:uidLastSave="{00000000-0000-0000-0000-000000000000}"/>
  <bookViews>
    <workbookView xWindow="-120" yWindow="-120" windowWidth="29040" windowHeight="15720" tabRatio="500" firstSheet="1" activeTab="6" xr2:uid="{00000000-000D-0000-FFFF-FFFF00000000}"/>
  </bookViews>
  <sheets>
    <sheet name="Performance Dashboard" sheetId="1" r:id="rId1"/>
    <sheet name="Manager Status Report" sheetId="2" r:id="rId2"/>
    <sheet name="JULY-2026" sheetId="6" r:id="rId3"/>
    <sheet name="AUG-2026" sheetId="7" r:id="rId4"/>
    <sheet name="Attendance Sheet" sheetId="5" r:id="rId5"/>
    <sheet name="Inventory" sheetId="8" r:id="rId6"/>
    <sheet name="Purchase" sheetId="9" r:id="rId7"/>
  </sheets>
  <definedNames>
    <definedName name="_xlnm._FilterDatabase" localSheetId="3" hidden="1">'AUG-2026'!$A$1:$Z$77</definedName>
    <definedName name="_xlnm._FilterDatabase" localSheetId="5" hidden="1">Inventory!$A$5:$Q$54</definedName>
    <definedName name="_xlnm._FilterDatabase" localSheetId="2" hidden="1">'JULY-2026'!$A$1:$Y$94</definedName>
    <definedName name="_xlnm._FilterDatabase" localSheetId="6" hidden="1">Purchase!$A$5:$N$9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9" l="1"/>
  <c r="G11" i="9" s="1"/>
  <c r="G7" i="9"/>
  <c r="G8" i="9"/>
  <c r="G9" i="9"/>
  <c r="E11" i="9"/>
  <c r="I6" i="8"/>
  <c r="M6" i="8" s="1"/>
  <c r="P6" i="8"/>
  <c r="Q6" i="8"/>
  <c r="I7" i="8"/>
  <c r="M7" i="8"/>
  <c r="P7" i="8"/>
  <c r="Q7" i="8"/>
  <c r="I8" i="8"/>
  <c r="M8" i="8" s="1"/>
  <c r="P8" i="8"/>
  <c r="Q8" i="8"/>
  <c r="I9" i="8"/>
  <c r="M9" i="8"/>
  <c r="P9" i="8"/>
  <c r="Q9" i="8"/>
  <c r="I10" i="8"/>
  <c r="M10" i="8" s="1"/>
  <c r="P10" i="8"/>
  <c r="Q10" i="8"/>
  <c r="I11" i="8"/>
  <c r="M11" i="8"/>
  <c r="P11" i="8"/>
  <c r="Q11" i="8"/>
  <c r="I12" i="8"/>
  <c r="M12" i="8" s="1"/>
  <c r="P12" i="8"/>
  <c r="Q12" i="8"/>
  <c r="I13" i="8"/>
  <c r="M13" i="8"/>
  <c r="P13" i="8"/>
  <c r="Q13" i="8"/>
  <c r="I14" i="8"/>
  <c r="M14" i="8" s="1"/>
  <c r="P14" i="8"/>
  <c r="Q14" i="8"/>
  <c r="I15" i="8"/>
  <c r="M15" i="8"/>
  <c r="P15" i="8"/>
  <c r="Q15" i="8"/>
  <c r="I16" i="8"/>
  <c r="M16" i="8" s="1"/>
  <c r="P16" i="8"/>
  <c r="Q16" i="8"/>
  <c r="I17" i="8"/>
  <c r="M17" i="8"/>
  <c r="P17" i="8"/>
  <c r="Q17" i="8"/>
  <c r="I18" i="8"/>
  <c r="M18" i="8" s="1"/>
  <c r="P18" i="8"/>
  <c r="Q18" i="8"/>
  <c r="I19" i="8"/>
  <c r="M19" i="8"/>
  <c r="P19" i="8"/>
  <c r="Q19" i="8"/>
  <c r="I20" i="8"/>
  <c r="M20" i="8" s="1"/>
  <c r="P20" i="8"/>
  <c r="Q20" i="8"/>
  <c r="I21" i="8"/>
  <c r="M21" i="8"/>
  <c r="P21" i="8"/>
  <c r="Q21" i="8"/>
  <c r="I22" i="8"/>
  <c r="M22" i="8" s="1"/>
  <c r="P22" i="8"/>
  <c r="Q22" i="8"/>
  <c r="I23" i="8"/>
  <c r="M23" i="8"/>
  <c r="P23" i="8"/>
  <c r="Q23" i="8"/>
  <c r="I24" i="8"/>
  <c r="M24" i="8" s="1"/>
  <c r="P24" i="8"/>
  <c r="Q24" i="8"/>
  <c r="I25" i="8"/>
  <c r="M25" i="8"/>
  <c r="P25" i="8"/>
  <c r="Q25" i="8"/>
  <c r="I26" i="8"/>
  <c r="M26" i="8" s="1"/>
  <c r="P26" i="8"/>
  <c r="Q26" i="8"/>
  <c r="I27" i="8"/>
  <c r="M27" i="8"/>
  <c r="P27" i="8"/>
  <c r="Q27" i="8"/>
  <c r="I28" i="8"/>
  <c r="M28" i="8" s="1"/>
  <c r="P28" i="8"/>
  <c r="Q28" i="8"/>
  <c r="I29" i="8"/>
  <c r="M29" i="8"/>
  <c r="P29" i="8"/>
  <c r="Q29" i="8"/>
  <c r="I30" i="8"/>
  <c r="M30" i="8" s="1"/>
  <c r="P30" i="8"/>
  <c r="Q30" i="8"/>
  <c r="I31" i="8"/>
  <c r="M31" i="8"/>
  <c r="P31" i="8"/>
  <c r="Q31" i="8"/>
  <c r="I32" i="8"/>
  <c r="M32" i="8" s="1"/>
  <c r="P32" i="8"/>
  <c r="Q32" i="8"/>
  <c r="I33" i="8"/>
  <c r="M33" i="8"/>
  <c r="P33" i="8"/>
  <c r="Q33" i="8"/>
  <c r="I34" i="8"/>
  <c r="M34" i="8" s="1"/>
  <c r="P34" i="8"/>
  <c r="Q34" i="8"/>
  <c r="I35" i="8"/>
  <c r="M35" i="8"/>
  <c r="P35" i="8"/>
  <c r="Q35" i="8"/>
  <c r="I36" i="8"/>
  <c r="M36" i="8" s="1"/>
  <c r="P36" i="8"/>
  <c r="Q36" i="8"/>
  <c r="I37" i="8"/>
  <c r="M37" i="8"/>
  <c r="P37" i="8"/>
  <c r="Q37" i="8"/>
  <c r="I38" i="8"/>
  <c r="M38" i="8" s="1"/>
  <c r="P38" i="8"/>
  <c r="Q38" i="8"/>
  <c r="I39" i="8"/>
  <c r="M39" i="8"/>
  <c r="P39" i="8"/>
  <c r="Q39" i="8"/>
  <c r="I40" i="8"/>
  <c r="M40" i="8" s="1"/>
  <c r="P40" i="8"/>
  <c r="Q40" i="8"/>
  <c r="I41" i="8"/>
  <c r="M41" i="8"/>
  <c r="P41" i="8"/>
  <c r="Q41" i="8"/>
  <c r="I42" i="8"/>
  <c r="M42" i="8" s="1"/>
  <c r="P42" i="8"/>
  <c r="Q42" i="8"/>
  <c r="I43" i="8"/>
  <c r="M43" i="8"/>
  <c r="P43" i="8"/>
  <c r="Q43" i="8"/>
  <c r="I44" i="8"/>
  <c r="M44" i="8" s="1"/>
  <c r="P44" i="8"/>
  <c r="Q44" i="8"/>
  <c r="I45" i="8"/>
  <c r="M45" i="8"/>
  <c r="P45" i="8"/>
  <c r="Q45" i="8"/>
  <c r="I46" i="8"/>
  <c r="M46" i="8" s="1"/>
  <c r="P46" i="8"/>
  <c r="Q46" i="8"/>
  <c r="I47" i="8"/>
  <c r="M47" i="8"/>
  <c r="P47" i="8"/>
  <c r="Q47" i="8"/>
  <c r="I48" i="8"/>
  <c r="M48" i="8" s="1"/>
  <c r="P48" i="8"/>
  <c r="Q48" i="8"/>
  <c r="I49" i="8"/>
  <c r="M49" i="8"/>
  <c r="P49" i="8"/>
  <c r="Q49" i="8"/>
  <c r="I50" i="8"/>
  <c r="M50" i="8" s="1"/>
  <c r="P50" i="8"/>
  <c r="Q50" i="8"/>
  <c r="I51" i="8"/>
  <c r="M51" i="8"/>
  <c r="P51" i="8"/>
  <c r="Q51" i="8"/>
  <c r="I52" i="8"/>
  <c r="M52" i="8" s="1"/>
  <c r="P52" i="8"/>
  <c r="Q52" i="8"/>
  <c r="I53" i="8"/>
  <c r="M53" i="8"/>
  <c r="P53" i="8"/>
  <c r="Q53" i="8"/>
  <c r="I54" i="8"/>
  <c r="M54" i="8" s="1"/>
  <c r="P54" i="8"/>
  <c r="Q54" i="8"/>
  <c r="F55" i="8"/>
  <c r="G55" i="8"/>
  <c r="H55" i="8"/>
  <c r="I55" i="8"/>
  <c r="M55" i="8" l="1"/>
  <c r="S93" i="6"/>
  <c r="Q74" i="6"/>
  <c r="N74" i="6"/>
  <c r="M35" i="6"/>
  <c r="M74" i="6" s="1"/>
  <c r="O34" i="6"/>
  <c r="O32" i="6"/>
  <c r="O26" i="6"/>
  <c r="O25" i="6"/>
  <c r="O24" i="6"/>
  <c r="O23" i="6"/>
  <c r="O22" i="6"/>
  <c r="O21" i="6"/>
  <c r="O20" i="6"/>
  <c r="O19" i="6"/>
  <c r="O18" i="6"/>
  <c r="O17" i="6"/>
  <c r="K17" i="6"/>
  <c r="O16" i="6"/>
  <c r="K16" i="6"/>
  <c r="K74" i="6" s="1"/>
  <c r="O15" i="6"/>
  <c r="O14" i="6"/>
  <c r="O13" i="6"/>
  <c r="O12" i="6"/>
  <c r="L12" i="6"/>
  <c r="O11" i="6"/>
  <c r="L11" i="6"/>
  <c r="L74" i="6" s="1"/>
  <c r="O10" i="6"/>
  <c r="O9" i="6"/>
  <c r="O8" i="6"/>
  <c r="K8" i="6"/>
  <c r="O7" i="6"/>
  <c r="O6" i="6"/>
  <c r="O5" i="6"/>
  <c r="O4" i="6"/>
  <c r="O3" i="6"/>
  <c r="O2" i="6"/>
  <c r="O74" i="6" s="1"/>
  <c r="S94" i="6" s="1"/>
  <c r="K2" i="6"/>
  <c r="Q77" i="7" l="1"/>
  <c r="K77" i="7"/>
  <c r="L77" i="7"/>
  <c r="M77" i="7"/>
  <c r="N77" i="7"/>
  <c r="O77" i="7"/>
  <c r="S96" i="7" l="1"/>
  <c r="S97" i="7" l="1"/>
  <c r="B4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L8" authorId="0" shapeId="0" xr:uid="{60301AA6-CF33-43AF-B4E5-4B5AB9D89AD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1400 COMMIL SUSHIL+1730 EXPENSES</t>
        </r>
      </text>
    </comment>
    <comment ref="N8" authorId="0" shapeId="0" xr:uid="{0BD1E7E3-DC36-4A2A-A98C-FBEAACD8EF8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1400 COMMIL SUSHIL+1730 EXPENSES</t>
        </r>
      </text>
    </comment>
    <comment ref="F17" authorId="0" shapeId="0" xr:uid="{16F8BF35-16B3-436C-B748-B69533B48A9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 AJMAL PAINT</t>
        </r>
      </text>
    </comment>
    <comment ref="N17" authorId="0" shapeId="0" xr:uid="{10E29ECA-692A-4280-9612-D2F73D61B9A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295+100 DENTER+250(AJMAL MARKETING+135 PATING MET EXP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7" authorId="0" shapeId="0" xr:uid="{00000000-0006-0000-0000-000001000000}">
      <text>
        <r>
          <rPr>
            <sz val="10"/>
            <rFont val="Arial"/>
            <family val="2"/>
          </rPr>
          <t>Original file showed Stock Value 752.79 (= 1 unit) against Stock 4 Nos. This sheet now computes Value = Qty x Unit Cost = 3,011.16. Please verify actual quantity on hand.</t>
        </r>
      </text>
    </comment>
    <comment ref="M9" authorId="0" shapeId="0" xr:uid="{00000000-0006-0000-0000-000002000000}">
      <text>
        <r>
          <rPr>
            <sz val="10"/>
            <rFont val="Arial"/>
            <family val="2"/>
          </rPr>
          <t>Original file showed Stock Value 287.36 (= 3 units) against Stock 6 Nos. This sheet now computes Value = Qty x Unit Cost = 574.74. Please verify actual quantity on hand.</t>
        </r>
      </text>
    </comment>
  </commentList>
</comments>
</file>

<file path=xl/sharedStrings.xml><?xml version="1.0" encoding="utf-8"?>
<sst xmlns="http://schemas.openxmlformats.org/spreadsheetml/2006/main" count="5845" uniqueCount="658">
  <si>
    <t>WORKSHOP PERFORMANCE DASHBOARD — JUNE 2026</t>
  </si>
  <si>
    <t>Employee performance, work type performance, and expense hotspots</t>
  </si>
  <si>
    <t>EMPLOYEE PERFORMANCE</t>
  </si>
  <si>
    <t>Staff Name</t>
  </si>
  <si>
    <t>Jobs</t>
  </si>
  <si>
    <t>Revenue</t>
  </si>
  <si>
    <t>Expenses</t>
  </si>
  <si>
    <t>Profit</t>
  </si>
  <si>
    <t>Profit/Job</t>
  </si>
  <si>
    <t>FAIZAL</t>
  </si>
  <si>
    <t>WASIK</t>
  </si>
  <si>
    <t>AMAL</t>
  </si>
  <si>
    <t>SANIL</t>
  </si>
  <si>
    <t>CYRIL</t>
  </si>
  <si>
    <t>KISHORE</t>
  </si>
  <si>
    <t>CRL/JML</t>
  </si>
  <si>
    <t>ARIF KISOR</t>
  </si>
  <si>
    <t>RAKIB</t>
  </si>
  <si>
    <t>WORK TYPE (DEPARTMENT) PERFORMANCE</t>
  </si>
  <si>
    <t>Department</t>
  </si>
  <si>
    <t>Margin %</t>
  </si>
  <si>
    <t>Mechanical</t>
  </si>
  <si>
    <t>Calibration</t>
  </si>
  <si>
    <t>Electrical</t>
  </si>
  <si>
    <t>Fabrication</t>
  </si>
  <si>
    <t>Other</t>
  </si>
  <si>
    <t>Painting</t>
  </si>
  <si>
    <t>OVERHEAD EXPENSES (FIXED COSTS)</t>
  </si>
  <si>
    <t>Expense Item</t>
  </si>
  <si>
    <t>Amount</t>
  </si>
  <si>
    <t>Rental Store</t>
  </si>
  <si>
    <t>Rental Amal</t>
  </si>
  <si>
    <t>Salary Jameel</t>
  </si>
  <si>
    <t>Salary Sanil</t>
  </si>
  <si>
    <t>Salary Cyril</t>
  </si>
  <si>
    <t>Salary Amal</t>
  </si>
  <si>
    <t>Salary Rakeeb</t>
  </si>
  <si>
    <t>Fuel Amal</t>
  </si>
  <si>
    <t>Vehicle Expenses Amal</t>
  </si>
  <si>
    <t>Miscellaneous Expenses</t>
  </si>
  <si>
    <t>Telephone</t>
  </si>
  <si>
    <t>TOTAL OVERHEADS</t>
  </si>
  <si>
    <t>JOB EXPENSE HOTSPOTS (PARTS/MATERIALS COST BY DEPARTMENT)</t>
  </si>
  <si>
    <t>Job Expenses</t>
  </si>
  <si>
    <t>% of Total Job Expenses</t>
  </si>
  <si>
    <t>KEY INSIGHTS</t>
  </si>
  <si>
    <t>• Top performer: FAIZAL — 31 jobs, QAR 7,900 profit, lowest expense ratio (mostly calibration jobs, low parts cost).</t>
  </si>
  <si>
    <t>• WASIK handles the most revenue (QAR 11,396) but also the most expenses (QAR 5,309) — mainly seal kits/oil-change parts on Mechanical jobs; his profit per job is lower than Faizal's despite similar job count.</t>
  </si>
  <si>
    <t>• SANIL and CYRIL have very few jobs (2 each) but high expense-to-revenue ratio — worth checking utilisation and job allocation for them.</t>
  </si>
  <si>
    <t>• RAKIB and ARIF KISOR each logged only 1 job with no profit/revenue tracked — flag for review (idle or unrecorded jobs).</t>
  </si>
  <si>
    <t>• Mechanical work type has the highest job expenses (QAR 5,414, ~83% of all job-related expenses) — this is the single biggest expense item to manage. It comes mainly from seal kits, gear/cooler pipe, oil-change parts.</t>
  </si>
  <si>
    <t>• Fabrication's expenses (QAR 972) are mostly welding consumables — small but worth tracking if fabrication volume grows.</t>
  </si>
  <si>
    <t>• On overheads, Rental Store (QAR 4,000) and Salary Amal (QAR 4,200) are the two largest fixed costs — together over 40% of all overheads — these are the expenses driving the month into a net loss.</t>
  </si>
  <si>
    <t>WORKSHOP MANAGER STATUS REPORT</t>
  </si>
  <si>
    <t>Period: June 2026</t>
  </si>
  <si>
    <t>Revenue (Inv Price)</t>
  </si>
  <si>
    <t>Free Jobs</t>
  </si>
  <si>
    <t>Status</t>
  </si>
  <si>
    <t>Healthy margin</t>
  </si>
  <si>
    <t>Margin under pressure — high expenses</t>
  </si>
  <si>
    <t>No revenue logged — only 1 job, unbilled</t>
  </si>
  <si>
    <t>TOTAL</t>
  </si>
  <si>
    <t>MANAGER REMARKS</t>
  </si>
  <si>
    <t>• Calibration &amp; Electrical are the strongest segments this month — high margins (103-110%) driven mainly by service charges with minimal parts cost; these jobs are mostly labour/calibration fees billed in full.</t>
  </si>
  <si>
    <t>• Mechanical has the highest revenue (QAR 8,374) but the lowest margin (56.2%) due to heavy spare-parts expense (QAR 5,414) — recommend reviewing parts markup/pricing on mechanical jobs (e.g. seal kits, oil changes).</t>
  </si>
  <si>
    <t>• Fabrication is healthy (6 jobs, 108% margin) but volume is low this month — only welding/gressing jobs, no large fabrication contracts. Capacity may be under-utilised; worth following up with clients for fabrication work.</t>
  </si>
  <si>
    <t>• Painting recorded ZERO revenue in June (1 job, AJMAL/CAR, unbilled with blank Invoice/Payment status). This needs immediate follow-up — confirm if job was invoiced and update status.</t>
  </si>
  <si>
    <t>• Across the sheet, 12 jobs were logged as FREE SERVICE (mostly Calibration/Electrical/Other) — these dilute true profit per job; confirm these are approved warranty/goodwill jobs and not missed billing.</t>
  </si>
  <si>
    <t>• Workshop-level Net Profit (per the original totals row) is QAR -266.37 for June after deducting salaries, rent and overheads — despite positive gross profit on jobs, fixed overheads are pushing the workshop into a net loss this month. Recommend reviewing staff overtime, rental costs, and chasing unpaid/free jobs.</t>
  </si>
  <si>
    <t>Date</t>
  </si>
  <si>
    <t>Product Type/Service</t>
  </si>
  <si>
    <t>Type of Vehicle</t>
  </si>
  <si>
    <t>Quantity</t>
  </si>
  <si>
    <t>Client</t>
  </si>
  <si>
    <t>Reg No</t>
  </si>
  <si>
    <t>JOB CARD</t>
  </si>
  <si>
    <t>Spare Profit</t>
  </si>
  <si>
    <t>Invoice Status</t>
  </si>
  <si>
    <t>Payment Status</t>
  </si>
  <si>
    <t>REMARK</t>
  </si>
  <si>
    <t>BOOM TRUCK</t>
  </si>
  <si>
    <t>Sent</t>
  </si>
  <si>
    <t>LENGTH SETTING</t>
  </si>
  <si>
    <t>OTC</t>
  </si>
  <si>
    <t>TRAILER</t>
  </si>
  <si>
    <t xml:space="preserve"> </t>
  </si>
  <si>
    <t>FORKLIFT</t>
  </si>
  <si>
    <t>GITCO</t>
  </si>
  <si>
    <t>TROY ENGINEERING</t>
  </si>
  <si>
    <t>EMCO</t>
  </si>
  <si>
    <t>NAJCO</t>
  </si>
  <si>
    <t>CARMEL</t>
  </si>
  <si>
    <t>MEDGULF</t>
  </si>
  <si>
    <t>ESNAD</t>
  </si>
  <si>
    <t>FREE</t>
  </si>
  <si>
    <t>Totals:</t>
  </si>
  <si>
    <t xml:space="preserve"> Rental Store</t>
  </si>
  <si>
    <t xml:space="preserve"> Rental Amal</t>
  </si>
  <si>
    <t>Salary  Amal</t>
  </si>
  <si>
    <t>OT Jameel</t>
  </si>
  <si>
    <t>OT Cyril</t>
  </si>
  <si>
    <t>OT Amal</t>
  </si>
  <si>
    <t>OT Rakeeb</t>
  </si>
  <si>
    <t xml:space="preserve">Telephone </t>
  </si>
  <si>
    <t>Net Profit</t>
  </si>
  <si>
    <t>GITCO GROUP AUTO SERVICES</t>
  </si>
  <si>
    <t>Item Code</t>
  </si>
  <si>
    <t>Category</t>
  </si>
  <si>
    <t>Sold Out Date</t>
  </si>
  <si>
    <t>Side Marker Light</t>
  </si>
  <si>
    <t>General</t>
  </si>
  <si>
    <t>Dash Camera Wolfbox G900Pro</t>
  </si>
  <si>
    <t>Cameras</t>
  </si>
  <si>
    <t>Wiring Kit Wolfbox</t>
  </si>
  <si>
    <t>LC 200 Front Bumper -Carbon Steel Black</t>
  </si>
  <si>
    <t>FB001</t>
  </si>
  <si>
    <t>4*4 Accessories</t>
  </si>
  <si>
    <t>Leopard 5 Front Bumper -Manganese Steel Black</t>
  </si>
  <si>
    <t>Awning Quick Release Bracket</t>
  </si>
  <si>
    <t>Quick Deflator Long Type</t>
  </si>
  <si>
    <t>Tyre</t>
  </si>
  <si>
    <t>Quick Deflator Short Type</t>
  </si>
  <si>
    <t>Black Pole with Flag (Force USA)</t>
  </si>
  <si>
    <t>Awning Shower Tent</t>
  </si>
  <si>
    <t>Awning Tent 180 Degree</t>
  </si>
  <si>
    <t>Snorkel 2016-2021</t>
  </si>
  <si>
    <t>Grill light 12 Volte</t>
  </si>
  <si>
    <t>Filter FL 20-91 (Zoomlion 5 T FK)</t>
  </si>
  <si>
    <t>Filters</t>
  </si>
  <si>
    <t>Filter 1-1305 OF (Forklift)</t>
  </si>
  <si>
    <t>Filters 22677134 DF(ISUZU)</t>
  </si>
  <si>
    <t>Filter C 5717 DF (UD)</t>
  </si>
  <si>
    <t>Filter SFC01431</t>
  </si>
  <si>
    <t>Filter FC 7104 FF(UD QUESTOR)</t>
  </si>
  <si>
    <t>Filter SFC-7903 WS (ud /isuzu)</t>
  </si>
  <si>
    <t>Engine oil 15w 40</t>
  </si>
  <si>
    <t>Wire Rope 10*mm(Ungalavanized -Mpa 1960-KN69.7RHRL)</t>
  </si>
  <si>
    <t>Wire Rope 12*mm (Ungalvaized -Mpa 2160-KN106-RHRL)</t>
  </si>
  <si>
    <t>Wire Rope</t>
  </si>
  <si>
    <t>Charger SRT Body Kit</t>
  </si>
  <si>
    <t>New Design 4*4 35w 3 inch Led work roof Spot strobe car light auto fog light for...(cool white)</t>
  </si>
  <si>
    <t>Lights</t>
  </si>
  <si>
    <t>3.5 INCH 12V 35WTS AMBER WATER PROOF AUTO MOTORCYCLE AUXILIARY SMALL FOG DRIVING POD(COOL WHITE)</t>
  </si>
  <si>
    <t>NEW 4INCH 100W RGB LED WORK FOG DRIVING LIGHT BAR FOR CAR/TRUCK/UTV/MOTORCYCLE ALUMINIUM(RGB SPECIFICATION)</t>
  </si>
  <si>
    <t>UNIVERSAL YELLOW 5 INCH 100W RATED 100 WATTS LED HEADLIGHT 12V DRIVING SPOT LIGHT FOR OFFROAD VEHICLE 4*4(COOL WHITE,)</t>
  </si>
  <si>
    <t>42INCH240W SUPER BRIGHT RGB LED LIGHT BAR DOUBLE ROW WATER PROOF 10/20/20/40/52 INCH CAR TRUCK(NATURAL WHITE SPECIFICATION,RATED POWER 36-300W BEAM ANGLE SPOT</t>
  </si>
  <si>
    <t>15INCH 72W SUPER BRIGHT RGB LED LIGHT BAR DOUBLE ROW WATER PROOF 10/20/20/40/52 INCH CAR TRUCK(NATURAL WHITE SPECIFICATION, RATED POWER 36-300W BEAM ANGLE SPOT</t>
  </si>
  <si>
    <t>15 INCH 72 WAUTOMOTIVE 10/20/20/40/50/52 INCH 12V AMBER AURORA RGB STROBE LED MINI LIGHT (NATURAL WHITE SPECIFICATION  RATED POWER 36-300W BEAM ANGLE SPOT)</t>
  </si>
  <si>
    <t>42INCH 240W AUTOMOTIVE 10/20/20/40/50/52 INCH 12V AMBER AURORA RGB STROBE LED MINI LIGHT (NATURAL WHITE SPECIFICATION 42INCH 240W RATED POWER 36-300W BEAM ANGLE SPOT)</t>
  </si>
  <si>
    <t>3 CORE 3 PINS 1AUTOMOTIVE 12V 3-PINWIRING HARNESS 1TO 2 SPLITTER FORR LED LIGHT BAR DUAL OUTPUT Y CAB(SPECIFICATION 3 CORE 3 PINS 1(14AWG))</t>
  </si>
  <si>
    <t>2 CORE 2 PINS 1AUTOMOTIVE 12V 3-PINWIRING HARNESS 1TO 2 SPLITTER FOR LED LIGHT BAR DUAL OUTPUT Y CAB(SPECIFICATION 2 CORE 2 PINS 1(14AWG))</t>
  </si>
  <si>
    <t>4 INCH COVER LIGHT CUSTOM UNIVERSAL 3.5/4/5/7/9 INCH BLAK WHITE YELLOW 4*4 LED FOG LIGHT SPOTLIGHT(SPECIFICATION 4 INCH COVER LIGHT COLOR -BLACK 1)</t>
  </si>
  <si>
    <t>5 INCH COVER LIGHT CUSTOM UNIVERSAL 3.5/4/5/7/9 INCH BLAK WHITE YELLOW 4*4 LED FOG LIGHT SPOTLIGHT(SPECIFICATION 5 INCH COVER LIGHT COLOR -BLACK 1)</t>
  </si>
  <si>
    <t>7 INCH COVER LIGHT CUSTOM UNIVERSAL 3.5/4/5/7/9 INCH BLAK WHITE YELLOW 4*4 LED FOG LIGHT SPOTLIGHT(SPECIFICATION 7 INCH COVER LIGHT COLOR -BLACK 1)</t>
  </si>
  <si>
    <t>SHOCK (DISPLAY)</t>
  </si>
  <si>
    <t>CAMERA ADHINAKAM DASH CAMERA</t>
  </si>
  <si>
    <t>BRACKET WOLBOX</t>
  </si>
  <si>
    <t>UNIVERSAL MINI 3 INCH 20W RATED POWER 20 WATTS YELLOW FORD RANGER JEEP VEHICLE WATERPROOF LED FOG DRIVING DITCH</t>
  </si>
  <si>
    <t>Swift-Break Pad FR -NGN</t>
  </si>
  <si>
    <t>Oil Filter (16510-82703) Swift</t>
  </si>
  <si>
    <t>Engine Oil 20W 50-04 Ltr(Helix)</t>
  </si>
  <si>
    <t>Engine Oil</t>
  </si>
  <si>
    <t>Break Oil Light Vehicle</t>
  </si>
  <si>
    <t>Transaction</t>
  </si>
  <si>
    <t>Export Time: 27-06-2026 10:12</t>
  </si>
  <si>
    <t>First Name</t>
  </si>
  <si>
    <t>Last Name</t>
  </si>
  <si>
    <t>ID</t>
  </si>
  <si>
    <t>Time</t>
  </si>
  <si>
    <t>Weekday</t>
  </si>
  <si>
    <t>Data Source</t>
  </si>
  <si>
    <t>Device Name</t>
  </si>
  <si>
    <t>Device Serial No.</t>
  </si>
  <si>
    <t>Punch State</t>
  </si>
  <si>
    <t>Location</t>
  </si>
  <si>
    <t>Remarks</t>
  </si>
  <si>
    <t>Kishore</t>
  </si>
  <si>
    <t>--</t>
  </si>
  <si>
    <t>4</t>
  </si>
  <si>
    <t>01-06-2026</t>
  </si>
  <si>
    <t>07:58</t>
  </si>
  <si>
    <t>Monday</t>
  </si>
  <si>
    <t>Device</t>
  </si>
  <si>
    <t>GITCO PLANT HIRE</t>
  </si>
  <si>
    <t>AA7937428</t>
  </si>
  <si>
    <t>Wasik</t>
  </si>
  <si>
    <t>5</t>
  </si>
  <si>
    <t>08:31</t>
  </si>
  <si>
    <t>Sanil</t>
  </si>
  <si>
    <t>7</t>
  </si>
  <si>
    <t>08:34</t>
  </si>
  <si>
    <t>Ishu</t>
  </si>
  <si>
    <t>1</t>
  </si>
  <si>
    <t>08:49</t>
  </si>
  <si>
    <t>Cyril</t>
  </si>
  <si>
    <t>11</t>
  </si>
  <si>
    <t>09:29</t>
  </si>
  <si>
    <t>Jameel</t>
  </si>
  <si>
    <t>10</t>
  </si>
  <si>
    <t>09:36</t>
  </si>
  <si>
    <t>Anish</t>
  </si>
  <si>
    <t>13</t>
  </si>
  <si>
    <t>11:00</t>
  </si>
  <si>
    <t>12:49</t>
  </si>
  <si>
    <t>16:32</t>
  </si>
  <si>
    <t>16:44</t>
  </si>
  <si>
    <t>18:09</t>
  </si>
  <si>
    <t>18:10</t>
  </si>
  <si>
    <t>18:17</t>
  </si>
  <si>
    <t>21:34</t>
  </si>
  <si>
    <t>02-06-2026</t>
  </si>
  <si>
    <t>08:05</t>
  </si>
  <si>
    <t>Tuesday</t>
  </si>
  <si>
    <t>08:33</t>
  </si>
  <si>
    <t>08:35</t>
  </si>
  <si>
    <t>08:48</t>
  </si>
  <si>
    <t>08:51</t>
  </si>
  <si>
    <t>Fasalu</t>
  </si>
  <si>
    <t>9</t>
  </si>
  <si>
    <t>09:12</t>
  </si>
  <si>
    <t>09:30</t>
  </si>
  <si>
    <t>09:34</t>
  </si>
  <si>
    <t>12:30</t>
  </si>
  <si>
    <t>12:57</t>
  </si>
  <si>
    <t>16:29</t>
  </si>
  <si>
    <t>16:50</t>
  </si>
  <si>
    <t>18:02</t>
  </si>
  <si>
    <t>18:03</t>
  </si>
  <si>
    <t>18:33</t>
  </si>
  <si>
    <t>18:42</t>
  </si>
  <si>
    <t>21:27</t>
  </si>
  <si>
    <t>21:31</t>
  </si>
  <si>
    <t>03-06-2026</t>
  </si>
  <si>
    <t>08:06</t>
  </si>
  <si>
    <t>Wednesday</t>
  </si>
  <si>
    <t>09:01</t>
  </si>
  <si>
    <t>09:31</t>
  </si>
  <si>
    <t>09:32</t>
  </si>
  <si>
    <t>10:42</t>
  </si>
  <si>
    <t>12:12</t>
  </si>
  <si>
    <t>14:09</t>
  </si>
  <si>
    <t>16:30</t>
  </si>
  <si>
    <t>18:32</t>
  </si>
  <si>
    <t>18:52</t>
  </si>
  <si>
    <t>20:44</t>
  </si>
  <si>
    <t>21:13</t>
  </si>
  <si>
    <t>21:30</t>
  </si>
  <si>
    <t>04-06-2026</t>
  </si>
  <si>
    <t>08:04</t>
  </si>
  <si>
    <t>Thursday</t>
  </si>
  <si>
    <t>08:11</t>
  </si>
  <si>
    <t>08:14</t>
  </si>
  <si>
    <t>08:54</t>
  </si>
  <si>
    <t>08:56</t>
  </si>
  <si>
    <t>09:23</t>
  </si>
  <si>
    <t>12:36</t>
  </si>
  <si>
    <t>14:08</t>
  </si>
  <si>
    <t>19:33</t>
  </si>
  <si>
    <t>21:29</t>
  </si>
  <si>
    <t>21:52</t>
  </si>
  <si>
    <t>06-06-2026</t>
  </si>
  <si>
    <t>08:29</t>
  </si>
  <si>
    <t>Saturday</t>
  </si>
  <si>
    <t>08:32</t>
  </si>
  <si>
    <t>08:58</t>
  </si>
  <si>
    <t>09:09</t>
  </si>
  <si>
    <t>09:18</t>
  </si>
  <si>
    <t>13:14</t>
  </si>
  <si>
    <t>14:20</t>
  </si>
  <si>
    <t>16:31</t>
  </si>
  <si>
    <t>17:00</t>
  </si>
  <si>
    <t>18:28</t>
  </si>
  <si>
    <t>18:47</t>
  </si>
  <si>
    <t>20:24</t>
  </si>
  <si>
    <t>21:47</t>
  </si>
  <si>
    <t>21:50</t>
  </si>
  <si>
    <t>21:53</t>
  </si>
  <si>
    <t>07-06-2026</t>
  </si>
  <si>
    <t>08:07</t>
  </si>
  <si>
    <t>Sunday</t>
  </si>
  <si>
    <t>08:36</t>
  </si>
  <si>
    <t>08:42</t>
  </si>
  <si>
    <t>08:55</t>
  </si>
  <si>
    <t>12:38</t>
  </si>
  <si>
    <t>18:04</t>
  </si>
  <si>
    <t>18:06</t>
  </si>
  <si>
    <t>18:08</t>
  </si>
  <si>
    <t>08-06-2026</t>
  </si>
  <si>
    <t>08:10</t>
  </si>
  <si>
    <t>15:24</t>
  </si>
  <si>
    <t>16:28</t>
  </si>
  <si>
    <t>16:34</t>
  </si>
  <si>
    <t>19:43</t>
  </si>
  <si>
    <t>09-06-2026</t>
  </si>
  <si>
    <t>08:46</t>
  </si>
  <si>
    <t>12:40</t>
  </si>
  <si>
    <t>14:18</t>
  </si>
  <si>
    <t>18:01</t>
  </si>
  <si>
    <t>18:05</t>
  </si>
  <si>
    <t>18:18</t>
  </si>
  <si>
    <t>18:58</t>
  </si>
  <si>
    <t>10-06-2026</t>
  </si>
  <si>
    <t>08:28</t>
  </si>
  <si>
    <t>08:37</t>
  </si>
  <si>
    <t>12:31</t>
  </si>
  <si>
    <t>12:42</t>
  </si>
  <si>
    <t>19:18</t>
  </si>
  <si>
    <t>19:27</t>
  </si>
  <si>
    <t>19:46</t>
  </si>
  <si>
    <t>21:35</t>
  </si>
  <si>
    <t>11-06-2026</t>
  </si>
  <si>
    <t>08:50</t>
  </si>
  <si>
    <t>Amal</t>
  </si>
  <si>
    <t>2</t>
  </si>
  <si>
    <t>09:03</t>
  </si>
  <si>
    <t>12:48</t>
  </si>
  <si>
    <t>18:12</t>
  </si>
  <si>
    <t>18:34</t>
  </si>
  <si>
    <t>19:04</t>
  </si>
  <si>
    <t>19:11</t>
  </si>
  <si>
    <t>20:04</t>
  </si>
  <si>
    <t>13-06-2026</t>
  </si>
  <si>
    <t>07:55</t>
  </si>
  <si>
    <t>08:38</t>
  </si>
  <si>
    <t>09:20</t>
  </si>
  <si>
    <t>12:34</t>
  </si>
  <si>
    <t>12:44</t>
  </si>
  <si>
    <t>16:23</t>
  </si>
  <si>
    <t>18:38</t>
  </si>
  <si>
    <t>14-06-2026</t>
  </si>
  <si>
    <t>07:57</t>
  </si>
  <si>
    <t>09:04</t>
  </si>
  <si>
    <t>09:21</t>
  </si>
  <si>
    <t>09:28</t>
  </si>
  <si>
    <t>18:19</t>
  </si>
  <si>
    <t>18:25</t>
  </si>
  <si>
    <t>19:15</t>
  </si>
  <si>
    <t>15-06-2026</t>
  </si>
  <si>
    <t>07:56</t>
  </si>
  <si>
    <t>08:40</t>
  </si>
  <si>
    <t>08:41</t>
  </si>
  <si>
    <t>08:59</t>
  </si>
  <si>
    <t>09:27</t>
  </si>
  <si>
    <t>12:51</t>
  </si>
  <si>
    <t>18:14</t>
  </si>
  <si>
    <t>19:29</t>
  </si>
  <si>
    <t>19:57</t>
  </si>
  <si>
    <t>21:39</t>
  </si>
  <si>
    <t>16-06-2026</t>
  </si>
  <si>
    <t>08:30</t>
  </si>
  <si>
    <t>10:11</t>
  </si>
  <si>
    <t>12:43</t>
  </si>
  <si>
    <t>14:14</t>
  </si>
  <si>
    <t>18:21</t>
  </si>
  <si>
    <t>18:30</t>
  </si>
  <si>
    <t>Vysakh</t>
  </si>
  <si>
    <t>3</t>
  </si>
  <si>
    <t>19:06</t>
  </si>
  <si>
    <t>21:33</t>
  </si>
  <si>
    <t>21:44</t>
  </si>
  <si>
    <t>17-06-2026</t>
  </si>
  <si>
    <t>07:51</t>
  </si>
  <si>
    <t>08:39</t>
  </si>
  <si>
    <t>09:37</t>
  </si>
  <si>
    <t>12:54</t>
  </si>
  <si>
    <t>14:15</t>
  </si>
  <si>
    <t>19:12</t>
  </si>
  <si>
    <t>21:46</t>
  </si>
  <si>
    <t>18-06-2026</t>
  </si>
  <si>
    <t>09:14</t>
  </si>
  <si>
    <t>09:15</t>
  </si>
  <si>
    <t>13:06</t>
  </si>
  <si>
    <t>13:55</t>
  </si>
  <si>
    <t>18:13</t>
  </si>
  <si>
    <t>18:49</t>
  </si>
  <si>
    <t>18:57</t>
  </si>
  <si>
    <t>21:21</t>
  </si>
  <si>
    <t>20-06-2026</t>
  </si>
  <si>
    <t>09:05</t>
  </si>
  <si>
    <t>21:32</t>
  </si>
  <si>
    <t>21-06-2026</t>
  </si>
  <si>
    <t>08:12</t>
  </si>
  <si>
    <t>08:47</t>
  </si>
  <si>
    <t>08:57</t>
  </si>
  <si>
    <t>09:39</t>
  </si>
  <si>
    <t>12:52</t>
  </si>
  <si>
    <t>22-06-2026</t>
  </si>
  <si>
    <t>08:00</t>
  </si>
  <si>
    <t>08:45</t>
  </si>
  <si>
    <t>09:33</t>
  </si>
  <si>
    <t>13:00</t>
  </si>
  <si>
    <t>13:01</t>
  </si>
  <si>
    <t>18:11</t>
  </si>
  <si>
    <t>18:50</t>
  </si>
  <si>
    <t>20:34</t>
  </si>
  <si>
    <t>21:25</t>
  </si>
  <si>
    <t>23-06-2026</t>
  </si>
  <si>
    <t>07:59</t>
  </si>
  <si>
    <t>08:52</t>
  </si>
  <si>
    <t>08:53</t>
  </si>
  <si>
    <t>12:37</t>
  </si>
  <si>
    <t>15:34</t>
  </si>
  <si>
    <t>18:00</t>
  </si>
  <si>
    <t>19:23</t>
  </si>
  <si>
    <t>21:12</t>
  </si>
  <si>
    <t>24-06-2026</t>
  </si>
  <si>
    <t>15:10</t>
  </si>
  <si>
    <t>21:00</t>
  </si>
  <si>
    <t>25-06-2026</t>
  </si>
  <si>
    <t>08:08</t>
  </si>
  <si>
    <t>08:17</t>
  </si>
  <si>
    <t>09:00</t>
  </si>
  <si>
    <t>09:02</t>
  </si>
  <si>
    <t>14:23</t>
  </si>
  <si>
    <t>18:26</t>
  </si>
  <si>
    <t>18:53</t>
  </si>
  <si>
    <t>20:30</t>
  </si>
  <si>
    <t>20:31</t>
  </si>
  <si>
    <t>27-06-2026</t>
  </si>
  <si>
    <t>07:47</t>
  </si>
  <si>
    <t>Paid</t>
  </si>
  <si>
    <t>Pending</t>
  </si>
  <si>
    <t>FASLU</t>
  </si>
  <si>
    <t>Customor</t>
  </si>
  <si>
    <t>JAMEEL</t>
  </si>
  <si>
    <t>FULL PAINTING</t>
  </si>
  <si>
    <t>Grrage common Expenses</t>
  </si>
  <si>
    <t>OT Arif</t>
  </si>
  <si>
    <t>ENGINE OIL SERIVCE</t>
  </si>
  <si>
    <t>MINI BUS</t>
  </si>
  <si>
    <t xml:space="preserve">BEST LINE </t>
  </si>
  <si>
    <t>AUTO SERVICE</t>
  </si>
  <si>
    <t>TRADING</t>
  </si>
  <si>
    <t>01 Ton PICKUP</t>
  </si>
  <si>
    <t>MOTHER BOARD</t>
  </si>
  <si>
    <t>LEGTH SETTING</t>
  </si>
  <si>
    <t>WASIQ</t>
  </si>
  <si>
    <t>CALIBRATION</t>
  </si>
  <si>
    <t>GOLDEN ROCK</t>
  </si>
  <si>
    <t>KHALID PROJECT</t>
  </si>
  <si>
    <t>DISPLAY CHANGE</t>
  </si>
  <si>
    <t>PRADO</t>
  </si>
  <si>
    <t>MR.SHIJN PETER</t>
  </si>
  <si>
    <t>AJMAL</t>
  </si>
  <si>
    <t>MECHANICAL LIGHT</t>
  </si>
  <si>
    <t>XPANDER</t>
  </si>
  <si>
    <t>RENTAL</t>
  </si>
  <si>
    <t>SISSOR LIFT</t>
  </si>
  <si>
    <t xml:space="preserve">MECHANICAL  </t>
  </si>
  <si>
    <t>FJ</t>
  </si>
  <si>
    <t>DENTING AND PAINTINF</t>
  </si>
  <si>
    <t>NASEEB HASSAN</t>
  </si>
  <si>
    <t>BODY POLISHING AND PAINT TOUCH UP</t>
  </si>
  <si>
    <t>RAM</t>
  </si>
  <si>
    <t>MR.SHAREEF C/C SHAIJITH</t>
  </si>
  <si>
    <t>OIL SERVICE</t>
  </si>
  <si>
    <t>FABRICATION</t>
  </si>
  <si>
    <t>FASTTRACK</t>
  </si>
  <si>
    <t>Service Charge</t>
  </si>
  <si>
    <t>Gross Profit</t>
  </si>
  <si>
    <t>Salary Arif</t>
  </si>
  <si>
    <t>Accessories</t>
  </si>
  <si>
    <t>Inv Price/ Gross Revenue</t>
  </si>
  <si>
    <t>OVERHEADS</t>
  </si>
  <si>
    <t>Sl No/</t>
  </si>
  <si>
    <t>KISHOR</t>
  </si>
  <si>
    <t>KISHOR/WASIQ</t>
  </si>
  <si>
    <t>ARIF</t>
  </si>
  <si>
    <t>SUSPENSION</t>
  </si>
  <si>
    <t>SLI</t>
  </si>
  <si>
    <t>03 TON PICKUP</t>
  </si>
  <si>
    <t>DOHA FOOD SERVICE</t>
  </si>
  <si>
    <t>LC200</t>
  </si>
  <si>
    <t>MR ZAIN</t>
  </si>
  <si>
    <t>AL ANEES</t>
  </si>
  <si>
    <t>ENOVA</t>
  </si>
  <si>
    <t>JISHAM</t>
  </si>
  <si>
    <t>BARAKHA</t>
  </si>
  <si>
    <t>VELOZ</t>
  </si>
  <si>
    <t>AL WAHA FOOD TRADING</t>
  </si>
  <si>
    <t>ELECTRICAL</t>
  </si>
  <si>
    <t>TAIL</t>
  </si>
  <si>
    <t>SHAIJ</t>
  </si>
  <si>
    <t>JAIDAH</t>
  </si>
  <si>
    <t>3TT048321</t>
  </si>
  <si>
    <t>SHABEER SHAMSUDHEEN</t>
  </si>
  <si>
    <t>PAINTING</t>
  </si>
  <si>
    <t>KIA</t>
  </si>
  <si>
    <t>ACCENT</t>
  </si>
  <si>
    <t>MR VYSHAKH</t>
  </si>
  <si>
    <t>MINI COOPER</t>
  </si>
  <si>
    <t>AG MIDDLE EAST</t>
  </si>
  <si>
    <t>SHOCK</t>
  </si>
  <si>
    <t>CASH</t>
  </si>
  <si>
    <t>WIRE ROPE</t>
  </si>
  <si>
    <t>IABS</t>
  </si>
  <si>
    <t>GLOBEL SOURCE</t>
  </si>
  <si>
    <t>SUNNY</t>
  </si>
  <si>
    <t>SHIHAB A/C</t>
  </si>
  <si>
    <t>WIRBU</t>
  </si>
  <si>
    <t xml:space="preserve">MED GULF </t>
  </si>
  <si>
    <t>BARAKA 03</t>
  </si>
  <si>
    <t>FOTON</t>
  </si>
  <si>
    <t>SAAD AL KAABI TRADING</t>
  </si>
  <si>
    <t>DODGE</t>
  </si>
  <si>
    <t>MR ABDU REHMAN</t>
  </si>
  <si>
    <t>DOMASCO</t>
  </si>
  <si>
    <t>INTEGRATED TECHNOLOGYS SA</t>
  </si>
  <si>
    <t>48288-VIN</t>
  </si>
  <si>
    <t>SAMSUNG</t>
  </si>
  <si>
    <t>I</t>
  </si>
  <si>
    <t>DIME</t>
  </si>
  <si>
    <t>WINSTAR</t>
  </si>
  <si>
    <t>FAST TRACK</t>
  </si>
  <si>
    <t>SENT</t>
  </si>
  <si>
    <t>MITSUBHISHI</t>
  </si>
  <si>
    <t>AUDI</t>
  </si>
  <si>
    <t>OTOMOTO</t>
  </si>
  <si>
    <t>LC 200</t>
  </si>
  <si>
    <t>NISSAN URVAN</t>
  </si>
  <si>
    <t xml:space="preserve">AL WAHA </t>
  </si>
  <si>
    <t>DODGE RAM</t>
  </si>
  <si>
    <t>VYSHAKH</t>
  </si>
  <si>
    <t>ASHFAL</t>
  </si>
  <si>
    <t>HUNDAI</t>
  </si>
  <si>
    <t>DOHA FOOD</t>
  </si>
  <si>
    <t>ISUZU PICK UP</t>
  </si>
  <si>
    <t>IABA</t>
  </si>
  <si>
    <t>AL ANIS</t>
  </si>
  <si>
    <t>SAAD AL KAABI</t>
  </si>
  <si>
    <t>WRANGLER</t>
  </si>
  <si>
    <t>AJAS</t>
  </si>
  <si>
    <t>BMW</t>
  </si>
  <si>
    <t>PRAVEEN</t>
  </si>
  <si>
    <t>SWIFT</t>
  </si>
  <si>
    <t xml:space="preserve">FUSO </t>
  </si>
  <si>
    <t>Q CON</t>
  </si>
  <si>
    <t>TELEHANDLER</t>
  </si>
  <si>
    <t>MANOJ</t>
  </si>
  <si>
    <t>MEDITTARIAN</t>
  </si>
  <si>
    <t>MADHEENA</t>
  </si>
  <si>
    <t>BIG MECHINERY</t>
  </si>
  <si>
    <t>SAFA TRADING</t>
  </si>
  <si>
    <t>HEAD</t>
  </si>
  <si>
    <t>MR FAHEEM</t>
  </si>
  <si>
    <t>MR NAHEEM RAHEEM</t>
  </si>
  <si>
    <t>24-08-</t>
  </si>
  <si>
    <t>FUSO</t>
  </si>
  <si>
    <t>MR SHABEER SHAMSUDHEEN</t>
  </si>
  <si>
    <t>MAZDA</t>
  </si>
  <si>
    <t>MR HABIB</t>
  </si>
  <si>
    <t>GENESIS</t>
  </si>
  <si>
    <t>MR NASEEB HASSAN</t>
  </si>
  <si>
    <t>MR TAHIR</t>
  </si>
  <si>
    <t>GOLDEN HYDRUALIC</t>
  </si>
  <si>
    <t>CRANE</t>
  </si>
  <si>
    <t>SAFE WORLD</t>
  </si>
  <si>
    <t>- Unit column: Nos = pieces, Ltr = litres, Mtr = metres.</t>
  </si>
  <si>
    <t>- Orange Opening Stock cells: quantity needs verification (original stock value did not match Qty x Cost - see cell comments in the Stock Value column).</t>
  </si>
  <si>
    <t>- At the start of a new period, copy the closing Stock Qty into Opening Stock and clear Purchased/Sold.</t>
  </si>
  <si>
    <t>- Days In Stock - Opening Stock counts automatically from 01-Jan-2026 for items with opening stock. Days In Stock - Newly Purchased counts from the Newly Purchase Date you enter. Both freeze at the Sold Out Date once entered. Do not type over these formulas.</t>
  </si>
  <si>
    <t>- Stock Qty calculates automatically = Opening Stock + Purchased Qty - Sold Qty. Do not type over it.</t>
  </si>
  <si>
    <t>- Yellow cells with blue text are for you to fill in: enter units received in Purchased Qty and units sold in Sold Qty.</t>
  </si>
  <si>
    <t>How to use this sheet:</t>
  </si>
  <si>
    <t>Nos</t>
  </si>
  <si>
    <t>BRO001</t>
  </si>
  <si>
    <t>EOL002</t>
  </si>
  <si>
    <t>FLT009</t>
  </si>
  <si>
    <t>BPD001</t>
  </si>
  <si>
    <t>FGL004</t>
  </si>
  <si>
    <t>BRK001</t>
  </si>
  <si>
    <t>DCM003</t>
  </si>
  <si>
    <t>SHK001</t>
  </si>
  <si>
    <t>CVL004</t>
  </si>
  <si>
    <t>CVL003</t>
  </si>
  <si>
    <t>CVL002</t>
  </si>
  <si>
    <t>CVL001</t>
  </si>
  <si>
    <t>3.5 INCH COVER LIGHT CUSTOM UNIVERSAL 3.5/4/5/7/9 INCH BLAK WHITE YELLOW 4*4 LED FOG LIGHT SPOTLIGHT(SPECIFICATION 3.5 INCH COVER LIGHT COLOR -BLACK 1)</t>
  </si>
  <si>
    <t>WHS002</t>
  </si>
  <si>
    <t>WHS001</t>
  </si>
  <si>
    <t>STR002</t>
  </si>
  <si>
    <t>STR001</t>
  </si>
  <si>
    <t>LBR002</t>
  </si>
  <si>
    <t>LBR001</t>
  </si>
  <si>
    <t>HDL002</t>
  </si>
  <si>
    <t>HDL001</t>
  </si>
  <si>
    <t>YELLOW JEEP 7 INCH 100W RATED POWER 80 WATTS ROUND MOTOR CYCLE HEADLIGHT SUPER BRIGHT RGB LED FOG DRIVING(COOL WHITE,)</t>
  </si>
  <si>
    <t>FGL003</t>
  </si>
  <si>
    <t>FGL002</t>
  </si>
  <si>
    <t>FGL001</t>
  </si>
  <si>
    <t>BDK001</t>
  </si>
  <si>
    <t>Mtr</t>
  </si>
  <si>
    <t>WRP002</t>
  </si>
  <si>
    <t>WRP001</t>
  </si>
  <si>
    <t>Ltr</t>
  </si>
  <si>
    <t>EOL001</t>
  </si>
  <si>
    <t>FLT008</t>
  </si>
  <si>
    <t>FLT007</t>
  </si>
  <si>
    <t>FLT006</t>
  </si>
  <si>
    <t>FLT005</t>
  </si>
  <si>
    <t>FLT004</t>
  </si>
  <si>
    <t>FILTER 2395444 OF (ISUZU0</t>
  </si>
  <si>
    <t>FLT003</t>
  </si>
  <si>
    <t>FLT002</t>
  </si>
  <si>
    <t>FLT001</t>
  </si>
  <si>
    <t>GRL001</t>
  </si>
  <si>
    <t>SNK001</t>
  </si>
  <si>
    <t>AWN003</t>
  </si>
  <si>
    <t>AWN002</t>
  </si>
  <si>
    <t>FLG001</t>
  </si>
  <si>
    <t>QDF002</t>
  </si>
  <si>
    <t>QDF001</t>
  </si>
  <si>
    <t>AWN001</t>
  </si>
  <si>
    <t>FB002</t>
  </si>
  <si>
    <t>WKT001</t>
  </si>
  <si>
    <t>DCM002</t>
  </si>
  <si>
    <t>Dash Camera Wolfbox G850Pro</t>
  </si>
  <si>
    <t>DCM001</t>
  </si>
  <si>
    <t>SML001</t>
  </si>
  <si>
    <t>Days In Stock - Newly Purchased</t>
  </si>
  <si>
    <t>Days In Stock - Opening Stock</t>
  </si>
  <si>
    <t>Newly Purchase Date</t>
  </si>
  <si>
    <t>Stock Value (QAR)</t>
  </si>
  <si>
    <t>VAT %</t>
  </si>
  <si>
    <t>Selling Price (QAR)</t>
  </si>
  <si>
    <t>Unit Cost (QAR)</t>
  </si>
  <si>
    <t>Current Stock Qty</t>
  </si>
  <si>
    <t>Sold Qty</t>
  </si>
  <si>
    <t>Newly Purchased Qty</t>
  </si>
  <si>
    <t>Opening Stock As Of 01-JAN-2026</t>
  </si>
  <si>
    <t>Unit</t>
  </si>
  <si>
    <t>Item Name</t>
  </si>
  <si>
    <t>Sr No</t>
  </si>
  <si>
    <t xml:space="preserve">Stock Report </t>
  </si>
  <si>
    <t>Zone 91, Street 3134, Building No: 45, Birkath Al Awamir, Qatar</t>
  </si>
  <si>
    <t>- Status suggestions: Quoted / Ordered / Shipped / Received.</t>
  </si>
  <si>
    <t>- The grey italic row is an example of the expected format - delete it once you start filling real data.</t>
  </si>
  <si>
    <t>- Landing cost = unit cost + shipping, customs, and clearance per unit.</t>
  </si>
  <si>
    <t>- Product Value, Expected Profit, and the Total row calculate automatically - do not type over them.</t>
  </si>
  <si>
    <t>- Yellow cells with blue text are for you to fill in: Unit Cost, Landing Cost per Unit, Expected Selling Price, Est. Months to Sell Out, Supplier.</t>
  </si>
  <si>
    <t>Ordered</t>
  </si>
  <si>
    <t>Guangdong Lianhe Steel Co Ltd</t>
  </si>
  <si>
    <t>8.25R15 (LB TR)</t>
  </si>
  <si>
    <t>Tire</t>
  </si>
  <si>
    <t>9.0R20 (FK 10T)</t>
  </si>
  <si>
    <t>12R24 (TR)</t>
  </si>
  <si>
    <t>315/80R22.5 (BT)</t>
  </si>
  <si>
    <t>Supplier</t>
  </si>
  <si>
    <t>Est. Months to Sell Out</t>
  </si>
  <si>
    <t>ETA</t>
  </si>
  <si>
    <t>Shipping Date</t>
  </si>
  <si>
    <t>Expected Selling Price (QAR)</t>
  </si>
  <si>
    <t>Landing Cost / Unit (QAR)</t>
  </si>
  <si>
    <t>Product Value (QAR)</t>
  </si>
  <si>
    <t>Order Qty</t>
  </si>
  <si>
    <t>Type / Specification</t>
  </si>
  <si>
    <t>Product Name</t>
  </si>
  <si>
    <t xml:space="preserve">Purchase Order Plan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</si>
</sst>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[$QAR]\ * #,##0.00_);_([$QAR]\ * \(#,##0.00\);_([$QAR]\ * \-??_);_(@_)"/>
    <numFmt numFmtId="165" formatCode="0.0%"/>
    <numFmt numFmtId="166" formatCode="[$-409]d\-mmm;@"/>
    <numFmt numFmtId="167" formatCode="_([$QAR]\ * #,##0.00_);_([$QAR]\ * \(#,##0.00\);_([$QAR]\ * &quot;-&quot;??_);_(@_)"/>
    <numFmt numFmtId="168" formatCode="dd\-mmm\-yyyy"/>
  </numFmts>
  <fonts count="32" x14ac:knownFonts="1">
    <font>
      <sz val="11"/>
      <color theme="1"/>
      <name val="Calibri"/>
      <family val="2"/>
      <charset val="1"/>
    </font>
    <font>
      <b/>
      <sz val="14"/>
      <name val="Calibri"/>
      <family val="2"/>
    </font>
    <font>
      <b/>
      <i/>
      <sz val="11"/>
      <color rgb="FF666666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  <font>
      <b/>
      <sz val="9"/>
      <color theme="1"/>
      <name val="Cambria"/>
      <family val="1"/>
    </font>
    <font>
      <b/>
      <sz val="9"/>
      <color rgb="FF000000"/>
      <name val="Cambria"/>
      <family val="1"/>
    </font>
    <font>
      <sz val="9"/>
      <color theme="1"/>
      <name val="Cambria"/>
      <family val="1"/>
    </font>
    <font>
      <sz val="9"/>
      <color rgb="FFFF0000"/>
      <name val="Cambria"/>
      <family val="1"/>
    </font>
    <font>
      <sz val="9"/>
      <name val="Cambria"/>
      <family val="1"/>
    </font>
    <font>
      <b/>
      <sz val="9"/>
      <color theme="6" tint="-0.499984740745262"/>
      <name val="Cambria"/>
      <family val="1"/>
    </font>
    <font>
      <b/>
      <sz val="9"/>
      <color theme="3" tint="-0.499984740745262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6" tint="-0.499984740745262"/>
      <name val="Cambria"/>
      <family val="1"/>
    </font>
    <font>
      <sz val="11"/>
      <color rgb="FFFF0000"/>
      <name val="Calibri"/>
      <family val="2"/>
      <charset val="1"/>
    </font>
    <font>
      <b/>
      <sz val="9"/>
      <color rgb="FFFF0000"/>
      <name val="Cambria"/>
      <family val="1"/>
    </font>
    <font>
      <i/>
      <sz val="9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FFFFFF"/>
      <name val="Arial"/>
      <charset val="1"/>
    </font>
    <font>
      <b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b/>
      <sz val="16"/>
      <color rgb="FFFFFFFF"/>
      <name val="Arial"/>
      <family val="2"/>
      <charset val="1"/>
    </font>
    <font>
      <sz val="10"/>
      <name val="Arial"/>
      <family val="2"/>
    </font>
    <font>
      <i/>
      <sz val="10"/>
      <color rgb="FF808080"/>
      <name val="Arial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rgb="FFDCE6F1"/>
        <bgColor rgb="FFDAE3F3"/>
      </patternFill>
    </fill>
    <fill>
      <patternFill patternType="solid">
        <fgColor rgb="FFC6EFCE"/>
        <bgColor rgb="FFE2F0D9"/>
      </patternFill>
    </fill>
    <fill>
      <patternFill patternType="solid">
        <fgColor rgb="FFFFC7CE"/>
        <bgColor rgb="FFFFD087"/>
      </patternFill>
    </fill>
    <fill>
      <patternFill patternType="solid">
        <fgColor theme="0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theme="9" tint="0.79989013336588644"/>
        <bgColor rgb="FFEDEDED"/>
      </patternFill>
    </fill>
    <fill>
      <patternFill patternType="solid">
        <f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C0006"/>
      </patternFill>
    </fill>
    <fill>
      <patternFill patternType="solid">
        <fgColor theme="8"/>
        <bgColor indexed="64"/>
      </patternFill>
    </fill>
    <fill>
      <patternFill patternType="solid">
        <fgColor theme="0"/>
        <bgColor rgb="FFEDEDED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rgb="FFDAE3F3"/>
      </patternFill>
    </fill>
    <fill>
      <patternFill patternType="solid">
        <fgColor theme="4" tint="0.59999389629810485"/>
        <b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6E4F0"/>
        <bgColor rgb="FFF2F6FB"/>
      </patternFill>
    </fill>
    <fill>
      <patternFill patternType="solid">
        <fgColor rgb="FFF2F6FB"/>
        <bgColor rgb="FFFFFFFF"/>
      </patternFill>
    </fill>
    <fill>
      <patternFill patternType="solid">
        <fgColor theme="0"/>
        <bgColor rgb="FFF2F6FB"/>
      </patternFill>
    </fill>
    <fill>
      <patternFill patternType="solid">
        <fgColor rgb="FFFFC000"/>
        <bgColor rgb="FFFF9900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</fills>
  <borders count="1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4" fillId="2" borderId="1" xfId="0" applyFont="1" applyFill="1" applyBorder="1"/>
    <xf numFmtId="4" fontId="4" fillId="2" borderId="1" xfId="0" applyNumberFormat="1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/>
    <xf numFmtId="0" fontId="6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1" xfId="0" applyNumberFormat="1" applyBorder="1"/>
    <xf numFmtId="0" fontId="7" fillId="2" borderId="2" xfId="0" applyFont="1" applyFill="1" applyBorder="1" applyAlignment="1">
      <alignment horizontal="center"/>
    </xf>
    <xf numFmtId="164" fontId="7" fillId="2" borderId="2" xfId="0" applyNumberFormat="1" applyFont="1" applyFill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4" fontId="9" fillId="5" borderId="2" xfId="0" applyNumberFormat="1" applyFont="1" applyFill="1" applyBorder="1" applyAlignment="1">
      <alignment horizontal="center"/>
    </xf>
    <xf numFmtId="164" fontId="7" fillId="5" borderId="2" xfId="0" applyNumberFormat="1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1" fontId="9" fillId="5" borderId="2" xfId="0" applyNumberFormat="1" applyFont="1" applyFill="1" applyBorder="1" applyAlignment="1">
      <alignment horizontal="center"/>
    </xf>
    <xf numFmtId="0" fontId="0" fillId="0" borderId="2" xfId="0" applyBorder="1"/>
    <xf numFmtId="166" fontId="7" fillId="2" borderId="3" xfId="0" applyNumberFormat="1" applyFont="1" applyFill="1" applyBorder="1" applyAlignment="1">
      <alignment horizontal="center"/>
    </xf>
    <xf numFmtId="166" fontId="9" fillId="5" borderId="3" xfId="0" applyNumberFormat="1" applyFont="1" applyFill="1" applyBorder="1" applyAlignment="1">
      <alignment horizontal="center"/>
    </xf>
    <xf numFmtId="0" fontId="8" fillId="2" borderId="2" xfId="0" applyFont="1" applyFill="1" applyBorder="1"/>
    <xf numFmtId="0" fontId="9" fillId="9" borderId="2" xfId="0" applyFont="1" applyFill="1" applyBorder="1"/>
    <xf numFmtId="0" fontId="9" fillId="0" borderId="2" xfId="0" applyFont="1" applyBorder="1"/>
    <xf numFmtId="164" fontId="12" fillId="6" borderId="2" xfId="0" applyNumberFormat="1" applyFont="1" applyFill="1" applyBorder="1"/>
    <xf numFmtId="164" fontId="9" fillId="10" borderId="2" xfId="0" applyNumberFormat="1" applyFont="1" applyFill="1" applyBorder="1" applyAlignment="1">
      <alignment horizontal="center"/>
    </xf>
    <xf numFmtId="164" fontId="7" fillId="10" borderId="2" xfId="0" applyNumberFormat="1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10" fillId="11" borderId="2" xfId="0" applyFont="1" applyFill="1" applyBorder="1" applyAlignment="1">
      <alignment horizontal="center"/>
    </xf>
    <xf numFmtId="0" fontId="9" fillId="10" borderId="2" xfId="0" applyFont="1" applyFill="1" applyBorder="1"/>
    <xf numFmtId="0" fontId="9" fillId="10" borderId="0" xfId="0" applyFont="1" applyFill="1"/>
    <xf numFmtId="0" fontId="0" fillId="10" borderId="0" xfId="0" applyFill="1"/>
    <xf numFmtId="0" fontId="10" fillId="10" borderId="2" xfId="0" applyFont="1" applyFill="1" applyBorder="1" applyAlignment="1">
      <alignment horizontal="center"/>
    </xf>
    <xf numFmtId="166" fontId="9" fillId="10" borderId="3" xfId="0" applyNumberFormat="1" applyFont="1" applyFill="1" applyBorder="1" applyAlignment="1">
      <alignment horizontal="center"/>
    </xf>
    <xf numFmtId="1" fontId="9" fillId="10" borderId="2" xfId="0" applyNumberFormat="1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9" fillId="0" borderId="6" xfId="0" applyFont="1" applyBorder="1"/>
    <xf numFmtId="164" fontId="11" fillId="5" borderId="2" xfId="0" applyNumberFormat="1" applyFont="1" applyFill="1" applyBorder="1" applyAlignment="1">
      <alignment horizontal="center"/>
    </xf>
    <xf numFmtId="0" fontId="9" fillId="12" borderId="2" xfId="0" applyFont="1" applyFill="1" applyBorder="1"/>
    <xf numFmtId="0" fontId="0" fillId="12" borderId="2" xfId="0" applyFill="1" applyBorder="1"/>
    <xf numFmtId="0" fontId="9" fillId="10" borderId="2" xfId="0" applyFont="1" applyFill="1" applyBorder="1" applyAlignment="1">
      <alignment wrapText="1"/>
    </xf>
    <xf numFmtId="0" fontId="0" fillId="10" borderId="2" xfId="0" applyFill="1" applyBorder="1"/>
    <xf numFmtId="164" fontId="7" fillId="0" borderId="2" xfId="0" applyNumberFormat="1" applyFont="1" applyBorder="1"/>
    <xf numFmtId="167" fontId="0" fillId="10" borderId="2" xfId="0" applyNumberFormat="1" applyFill="1" applyBorder="1"/>
    <xf numFmtId="164" fontId="7" fillId="13" borderId="2" xfId="0" applyNumberFormat="1" applyFont="1" applyFill="1" applyBorder="1"/>
    <xf numFmtId="164" fontId="7" fillId="13" borderId="2" xfId="0" applyNumberFormat="1" applyFont="1" applyFill="1" applyBorder="1" applyAlignment="1">
      <alignment horizontal="center"/>
    </xf>
    <xf numFmtId="164" fontId="7" fillId="7" borderId="2" xfId="0" applyNumberFormat="1" applyFont="1" applyFill="1" applyBorder="1"/>
    <xf numFmtId="164" fontId="7" fillId="7" borderId="2" xfId="0" applyNumberFormat="1" applyFont="1" applyFill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0" fillId="14" borderId="2" xfId="0" applyFill="1" applyBorder="1"/>
    <xf numFmtId="167" fontId="17" fillId="14" borderId="2" xfId="0" applyNumberFormat="1" applyFont="1" applyFill="1" applyBorder="1"/>
    <xf numFmtId="167" fontId="17" fillId="0" borderId="2" xfId="0" applyNumberFormat="1" applyFont="1" applyBorder="1"/>
    <xf numFmtId="164" fontId="7" fillId="15" borderId="2" xfId="0" applyNumberFormat="1" applyFont="1" applyFill="1" applyBorder="1" applyAlignment="1">
      <alignment horizontal="center"/>
    </xf>
    <xf numFmtId="0" fontId="0" fillId="17" borderId="2" xfId="0" applyFill="1" applyBorder="1"/>
    <xf numFmtId="167" fontId="0" fillId="17" borderId="2" xfId="0" applyNumberFormat="1" applyFill="1" applyBorder="1"/>
    <xf numFmtId="0" fontId="13" fillId="16" borderId="2" xfId="0" applyFont="1" applyFill="1" applyBorder="1" applyAlignment="1">
      <alignment horizontal="center"/>
    </xf>
    <xf numFmtId="0" fontId="9" fillId="17" borderId="0" xfId="0" applyFont="1" applyFill="1"/>
    <xf numFmtId="0" fontId="0" fillId="17" borderId="0" xfId="0" applyFill="1"/>
    <xf numFmtId="0" fontId="9" fillId="5" borderId="4" xfId="0" applyFont="1" applyFill="1" applyBorder="1" applyAlignment="1">
      <alignment horizontal="center"/>
    </xf>
    <xf numFmtId="164" fontId="0" fillId="0" borderId="0" xfId="0" applyNumberFormat="1"/>
    <xf numFmtId="164" fontId="11" fillId="0" borderId="2" xfId="0" applyNumberFormat="1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64" fontId="11" fillId="10" borderId="2" xfId="0" applyNumberFormat="1" applyFont="1" applyFill="1" applyBorder="1" applyAlignment="1">
      <alignment horizontal="center"/>
    </xf>
    <xf numFmtId="166" fontId="9" fillId="0" borderId="6" xfId="0" applyNumberFormat="1" applyFont="1" applyBorder="1"/>
    <xf numFmtId="0" fontId="0" fillId="0" borderId="6" xfId="0" applyBorder="1"/>
    <xf numFmtId="166" fontId="9" fillId="10" borderId="2" xfId="0" applyNumberFormat="1" applyFont="1" applyFill="1" applyBorder="1" applyAlignment="1">
      <alignment horizontal="center"/>
    </xf>
    <xf numFmtId="166" fontId="9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1" fontId="10" fillId="10" borderId="2" xfId="0" applyNumberFormat="1" applyFont="1" applyFill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164" fontId="10" fillId="5" borderId="2" xfId="0" applyNumberFormat="1" applyFont="1" applyFill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0" fontId="7" fillId="2" borderId="2" xfId="0" applyFont="1" applyFill="1" applyBorder="1" applyAlignment="1">
      <alignment horizontal="left"/>
    </xf>
    <xf numFmtId="0" fontId="9" fillId="5" borderId="2" xfId="0" applyFont="1" applyFill="1" applyBorder="1" applyAlignment="1">
      <alignment horizontal="left"/>
    </xf>
    <xf numFmtId="0" fontId="9" fillId="10" borderId="2" xfId="0" applyFont="1" applyFill="1" applyBorder="1" applyAlignment="1">
      <alignment horizontal="left"/>
    </xf>
    <xf numFmtId="0" fontId="9" fillId="0" borderId="2" xfId="0" applyFont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10" fillId="0" borderId="2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10" borderId="2" xfId="0" applyFont="1" applyFill="1" applyBorder="1" applyAlignment="1">
      <alignment horizontal="left" wrapText="1"/>
    </xf>
    <xf numFmtId="164" fontId="7" fillId="13" borderId="2" xfId="0" applyNumberFormat="1" applyFont="1" applyFill="1" applyBorder="1" applyAlignment="1">
      <alignment horizontal="left"/>
    </xf>
    <xf numFmtId="0" fontId="13" fillId="5" borderId="2" xfId="0" applyFont="1" applyFill="1" applyBorder="1" applyAlignment="1">
      <alignment horizontal="left"/>
    </xf>
    <xf numFmtId="0" fontId="9" fillId="10" borderId="0" xfId="0" applyFont="1" applyFill="1" applyAlignment="1">
      <alignment horizontal="left"/>
    </xf>
    <xf numFmtId="0" fontId="0" fillId="10" borderId="0" xfId="0" applyFill="1" applyAlignment="1">
      <alignment horizontal="left"/>
    </xf>
    <xf numFmtId="164" fontId="7" fillId="2" borderId="2" xfId="0" applyNumberFormat="1" applyFont="1" applyFill="1" applyBorder="1" applyAlignment="1">
      <alignment horizontal="left"/>
    </xf>
    <xf numFmtId="164" fontId="9" fillId="5" borderId="2" xfId="0" applyNumberFormat="1" applyFont="1" applyFill="1" applyBorder="1" applyAlignment="1">
      <alignment horizontal="left"/>
    </xf>
    <xf numFmtId="164" fontId="9" fillId="10" borderId="2" xfId="0" applyNumberFormat="1" applyFont="1" applyFill="1" applyBorder="1" applyAlignment="1">
      <alignment horizontal="left"/>
    </xf>
    <xf numFmtId="164" fontId="10" fillId="10" borderId="2" xfId="0" applyNumberFormat="1" applyFont="1" applyFill="1" applyBorder="1" applyAlignment="1">
      <alignment horizontal="left"/>
    </xf>
    <xf numFmtId="164" fontId="9" fillId="0" borderId="2" xfId="0" applyNumberFormat="1" applyFont="1" applyBorder="1" applyAlignment="1">
      <alignment horizontal="left"/>
    </xf>
    <xf numFmtId="164" fontId="9" fillId="0" borderId="4" xfId="0" applyNumberFormat="1" applyFont="1" applyBorder="1" applyAlignment="1">
      <alignment horizontal="left"/>
    </xf>
    <xf numFmtId="0" fontId="10" fillId="10" borderId="2" xfId="0" applyFont="1" applyFill="1" applyBorder="1" applyAlignment="1">
      <alignment horizontal="left"/>
    </xf>
    <xf numFmtId="0" fontId="9" fillId="0" borderId="6" xfId="0" applyFont="1" applyBorder="1" applyAlignment="1">
      <alignment horizontal="left"/>
    </xf>
    <xf numFmtId="167" fontId="9" fillId="10" borderId="2" xfId="0" applyNumberFormat="1" applyFont="1" applyFill="1" applyBorder="1" applyAlignment="1">
      <alignment horizontal="left" wrapText="1"/>
    </xf>
    <xf numFmtId="164" fontId="0" fillId="10" borderId="2" xfId="0" applyNumberFormat="1" applyFill="1" applyBorder="1"/>
    <xf numFmtId="164" fontId="18" fillId="5" borderId="2" xfId="0" applyNumberFormat="1" applyFont="1" applyFill="1" applyBorder="1" applyAlignment="1">
      <alignment horizontal="center"/>
    </xf>
    <xf numFmtId="164" fontId="9" fillId="0" borderId="6" xfId="0" applyNumberFormat="1" applyFont="1" applyBorder="1" applyAlignment="1">
      <alignment horizontal="left"/>
    </xf>
    <xf numFmtId="164" fontId="12" fillId="13" borderId="2" xfId="0" applyNumberFormat="1" applyFont="1" applyFill="1" applyBorder="1"/>
    <xf numFmtId="0" fontId="0" fillId="0" borderId="9" xfId="0" applyBorder="1"/>
    <xf numFmtId="166" fontId="9" fillId="0" borderId="10" xfId="0" applyNumberFormat="1" applyFont="1" applyBorder="1"/>
    <xf numFmtId="0" fontId="7" fillId="6" borderId="11" xfId="0" applyFont="1" applyFill="1" applyBorder="1" applyAlignment="1">
      <alignment horizontal="left"/>
    </xf>
    <xf numFmtId="0" fontId="7" fillId="6" borderId="10" xfId="0" applyFont="1" applyFill="1" applyBorder="1" applyAlignment="1">
      <alignment horizontal="center"/>
    </xf>
    <xf numFmtId="0" fontId="7" fillId="6" borderId="10" xfId="0" applyFont="1" applyFill="1" applyBorder="1" applyAlignment="1">
      <alignment horizontal="left"/>
    </xf>
    <xf numFmtId="0" fontId="7" fillId="6" borderId="12" xfId="0" applyFont="1" applyFill="1" applyBorder="1" applyAlignment="1">
      <alignment horizontal="center"/>
    </xf>
    <xf numFmtId="164" fontId="16" fillId="6" borderId="9" xfId="0" applyNumberFormat="1" applyFont="1" applyFill="1" applyBorder="1"/>
    <xf numFmtId="164" fontId="16" fillId="6" borderId="9" xfId="0" applyNumberFormat="1" applyFont="1" applyFill="1" applyBorder="1" applyAlignment="1">
      <alignment horizontal="left"/>
    </xf>
    <xf numFmtId="164" fontId="16" fillId="13" borderId="9" xfId="0" applyNumberFormat="1" applyFont="1" applyFill="1" applyBorder="1"/>
    <xf numFmtId="0" fontId="9" fillId="0" borderId="9" xfId="0" applyFont="1" applyBorder="1"/>
    <xf numFmtId="1" fontId="9" fillId="18" borderId="2" xfId="0" applyNumberFormat="1" applyFont="1" applyFill="1" applyBorder="1" applyAlignment="1">
      <alignment horizontal="center"/>
    </xf>
    <xf numFmtId="1" fontId="9" fillId="19" borderId="2" xfId="0" applyNumberFormat="1" applyFont="1" applyFill="1" applyBorder="1" applyAlignment="1">
      <alignment horizontal="center"/>
    </xf>
    <xf numFmtId="166" fontId="9" fillId="10" borderId="10" xfId="0" applyNumberFormat="1" applyFont="1" applyFill="1" applyBorder="1" applyAlignment="1">
      <alignment horizontal="center"/>
    </xf>
    <xf numFmtId="1" fontId="9" fillId="10" borderId="9" xfId="0" applyNumberFormat="1" applyFont="1" applyFill="1" applyBorder="1" applyAlignment="1">
      <alignment horizontal="center"/>
    </xf>
    <xf numFmtId="164" fontId="9" fillId="10" borderId="9" xfId="0" applyNumberFormat="1" applyFont="1" applyFill="1" applyBorder="1" applyAlignment="1">
      <alignment horizontal="left"/>
    </xf>
    <xf numFmtId="164" fontId="11" fillId="5" borderId="9" xfId="0" applyNumberFormat="1" applyFont="1" applyFill="1" applyBorder="1" applyAlignment="1">
      <alignment horizontal="center"/>
    </xf>
    <xf numFmtId="164" fontId="9" fillId="5" borderId="9" xfId="0" applyNumberFormat="1" applyFont="1" applyFill="1" applyBorder="1" applyAlignment="1">
      <alignment horizontal="center"/>
    </xf>
    <xf numFmtId="0" fontId="9" fillId="10" borderId="9" xfId="0" applyFont="1" applyFill="1" applyBorder="1" applyAlignment="1">
      <alignment horizontal="center"/>
    </xf>
    <xf numFmtId="164" fontId="0" fillId="0" borderId="2" xfId="0" applyNumberFormat="1" applyBorder="1"/>
    <xf numFmtId="0" fontId="9" fillId="20" borderId="2" xfId="0" applyFont="1" applyFill="1" applyBorder="1"/>
    <xf numFmtId="0" fontId="9" fillId="10" borderId="13" xfId="0" applyFont="1" applyFill="1" applyBorder="1" applyAlignment="1">
      <alignment horizontal="center"/>
    </xf>
    <xf numFmtId="164" fontId="10" fillId="5" borderId="9" xfId="0" applyNumberFormat="1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0" fontId="9" fillId="0" borderId="13" xfId="0" applyFont="1" applyBorder="1" applyAlignment="1">
      <alignment horizontal="left"/>
    </xf>
    <xf numFmtId="166" fontId="10" fillId="10" borderId="10" xfId="0" applyNumberFormat="1" applyFont="1" applyFill="1" applyBorder="1" applyAlignment="1">
      <alignment horizontal="center"/>
    </xf>
    <xf numFmtId="1" fontId="10" fillId="10" borderId="9" xfId="0" applyNumberFormat="1" applyFont="1" applyFill="1" applyBorder="1" applyAlignment="1">
      <alignment horizontal="center"/>
    </xf>
    <xf numFmtId="168" fontId="0" fillId="0" borderId="0" xfId="0" applyNumberFormat="1"/>
    <xf numFmtId="0" fontId="19" fillId="0" borderId="0" xfId="0" applyFont="1"/>
    <xf numFmtId="0" fontId="20" fillId="0" borderId="0" xfId="0" applyFont="1"/>
    <xf numFmtId="0" fontId="21" fillId="21" borderId="14" xfId="0" applyFont="1" applyFill="1" applyBorder="1"/>
    <xf numFmtId="0" fontId="22" fillId="21" borderId="14" xfId="0" applyFont="1" applyFill="1" applyBorder="1"/>
    <xf numFmtId="168" fontId="22" fillId="21" borderId="14" xfId="0" applyNumberFormat="1" applyFont="1" applyFill="1" applyBorder="1"/>
    <xf numFmtId="4" fontId="22" fillId="21" borderId="14" xfId="0" applyNumberFormat="1" applyFont="1" applyFill="1" applyBorder="1"/>
    <xf numFmtId="3" fontId="22" fillId="21" borderId="14" xfId="0" applyNumberFormat="1" applyFont="1" applyFill="1" applyBorder="1"/>
    <xf numFmtId="1" fontId="23" fillId="22" borderId="14" xfId="0" applyNumberFormat="1" applyFont="1" applyFill="1" applyBorder="1" applyAlignment="1">
      <alignment horizontal="center" vertical="center"/>
    </xf>
    <xf numFmtId="168" fontId="24" fillId="22" borderId="14" xfId="0" applyNumberFormat="1" applyFont="1" applyFill="1" applyBorder="1" applyAlignment="1">
      <alignment horizontal="center" vertical="center"/>
    </xf>
    <xf numFmtId="4" fontId="24" fillId="22" borderId="14" xfId="0" applyNumberFormat="1" applyFont="1" applyFill="1" applyBorder="1"/>
    <xf numFmtId="9" fontId="24" fillId="22" borderId="14" xfId="0" applyNumberFormat="1" applyFont="1" applyFill="1" applyBorder="1" applyAlignment="1">
      <alignment horizontal="center" vertical="center"/>
    </xf>
    <xf numFmtId="3" fontId="24" fillId="22" borderId="14" xfId="0" applyNumberFormat="1" applyFont="1" applyFill="1" applyBorder="1"/>
    <xf numFmtId="3" fontId="25" fillId="23" borderId="14" xfId="0" applyNumberFormat="1" applyFont="1" applyFill="1" applyBorder="1"/>
    <xf numFmtId="0" fontId="24" fillId="22" borderId="14" xfId="0" applyFont="1" applyFill="1" applyBorder="1" applyAlignment="1">
      <alignment horizontal="center" vertical="center"/>
    </xf>
    <xf numFmtId="0" fontId="24" fillId="22" borderId="14" xfId="0" applyFont="1" applyFill="1" applyBorder="1" applyAlignment="1">
      <alignment horizontal="center" vertical="center" wrapText="1"/>
    </xf>
    <xf numFmtId="0" fontId="24" fillId="22" borderId="14" xfId="0" applyFont="1" applyFill="1" applyBorder="1" applyAlignment="1">
      <alignment vertical="center" wrapText="1"/>
    </xf>
    <xf numFmtId="1" fontId="23" fillId="0" borderId="14" xfId="0" applyNumberFormat="1" applyFont="1" applyBorder="1" applyAlignment="1">
      <alignment horizontal="center" vertical="center"/>
    </xf>
    <xf numFmtId="168" fontId="24" fillId="0" borderId="14" xfId="0" applyNumberFormat="1" applyFont="1" applyBorder="1" applyAlignment="1">
      <alignment horizontal="center" vertical="center"/>
    </xf>
    <xf numFmtId="4" fontId="24" fillId="0" borderId="14" xfId="0" applyNumberFormat="1" applyFont="1" applyBorder="1"/>
    <xf numFmtId="9" fontId="24" fillId="0" borderId="14" xfId="0" applyNumberFormat="1" applyFont="1" applyBorder="1" applyAlignment="1">
      <alignment horizontal="center" vertical="center"/>
    </xf>
    <xf numFmtId="3" fontId="24" fillId="0" borderId="14" xfId="0" applyNumberFormat="1" applyFont="1" applyBorder="1"/>
    <xf numFmtId="0" fontId="24" fillId="0" borderId="14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 wrapText="1"/>
    </xf>
    <xf numFmtId="0" fontId="24" fillId="0" borderId="14" xfId="0" applyFont="1" applyBorder="1" applyAlignment="1">
      <alignment vertical="center" wrapText="1"/>
    </xf>
    <xf numFmtId="3" fontId="24" fillId="24" borderId="14" xfId="0" applyNumberFormat="1" applyFont="1" applyFill="1" applyBorder="1"/>
    <xf numFmtId="0" fontId="26" fillId="25" borderId="14" xfId="0" applyFont="1" applyFill="1" applyBorder="1" applyAlignment="1">
      <alignment horizontal="center" vertical="center" wrapText="1"/>
    </xf>
    <xf numFmtId="0" fontId="27" fillId="25" borderId="14" xfId="0" applyFont="1" applyFill="1" applyBorder="1" applyAlignment="1">
      <alignment horizontal="center" vertical="center" wrapText="1"/>
    </xf>
    <xf numFmtId="168" fontId="27" fillId="25" borderId="14" xfId="0" applyNumberFormat="1" applyFont="1" applyFill="1" applyBorder="1" applyAlignment="1">
      <alignment horizontal="center" vertical="center" wrapText="1"/>
    </xf>
    <xf numFmtId="0" fontId="0" fillId="26" borderId="0" xfId="0" applyFill="1"/>
    <xf numFmtId="0" fontId="31" fillId="0" borderId="14" xfId="0" applyFont="1" applyBorder="1"/>
    <xf numFmtId="168" fontId="31" fillId="0" borderId="14" xfId="0" applyNumberFormat="1" applyFont="1" applyBorder="1"/>
    <xf numFmtId="4" fontId="31" fillId="0" borderId="14" xfId="0" applyNumberFormat="1" applyFont="1" applyBorder="1"/>
    <xf numFmtId="3" fontId="31" fillId="0" borderId="14" xfId="0" applyNumberFormat="1" applyFont="1" applyBorder="1"/>
    <xf numFmtId="0" fontId="25" fillId="23" borderId="14" xfId="0" applyFont="1" applyFill="1" applyBorder="1"/>
    <xf numFmtId="0" fontId="25" fillId="23" borderId="14" xfId="0" applyFont="1" applyFill="1" applyBorder="1" applyAlignment="1">
      <alignment horizontal="center" vertical="center"/>
    </xf>
    <xf numFmtId="4" fontId="25" fillId="23" borderId="14" xfId="0" applyNumberFormat="1" applyFont="1" applyFill="1" applyBorder="1"/>
    <xf numFmtId="3" fontId="24" fillId="0" borderId="14" xfId="0" applyNumberFormat="1" applyFont="1" applyBorder="1" applyAlignment="1">
      <alignment horizontal="center" vertical="center"/>
    </xf>
    <xf numFmtId="0" fontId="24" fillId="0" borderId="14" xfId="0" applyFont="1" applyBorder="1"/>
    <xf numFmtId="0" fontId="24" fillId="0" borderId="14" xfId="0" applyFont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29" fillId="26" borderId="0" xfId="0" applyFont="1" applyFill="1" applyAlignment="1">
      <alignment horizontal="center" vertical="center"/>
    </xf>
    <xf numFmtId="0" fontId="28" fillId="26" borderId="0" xfId="0" applyFont="1" applyFill="1" applyAlignment="1">
      <alignment horizontal="center" vertical="center"/>
    </xf>
  </cellXfs>
  <cellStyles count="1">
    <cellStyle name="Normal" xfId="0" builtinId="0"/>
  </cellStyles>
  <dxfs count="19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518ABD"/>
      <rgbColor rgb="FF90A2D3"/>
      <rgbColor rgb="FFFFC7CE"/>
      <rgbColor rgb="FFF2F2F2"/>
      <rgbColor rgb="FFE2F0D9"/>
      <rgbColor rgb="FF660066"/>
      <rgbColor rgb="FFD36F2B"/>
      <rgbColor rgb="FF3C65AE"/>
      <rgbColor rgb="FFD9D9D9"/>
      <rgbColor rgb="FF000080"/>
      <rgbColor rgb="FFFF00FF"/>
      <rgbColor rgb="FFEDEDED"/>
      <rgbColor rgb="FF00FFFF"/>
      <rgbColor rgb="FF800080"/>
      <rgbColor rgb="FF800000"/>
      <rgbColor rgb="FF008080"/>
      <rgbColor rgb="FF0000FF"/>
      <rgbColor rgb="FFDAE3F3"/>
      <rgbColor rgb="FFDCE6F1"/>
      <rgbColor rgb="FFC6EFCE"/>
      <rgbColor rgb="FFFFEB9C"/>
      <rgbColor rgb="FF98B8DF"/>
      <rgbColor rgb="FFF1A78B"/>
      <rgbColor rgb="FFB3B3B3"/>
      <rgbColor rgb="FFFFD087"/>
      <rgbColor rgb="FF4472C4"/>
      <rgbColor rgb="FFB7B7B7"/>
      <rgbColor rgb="FFA5A5A5"/>
      <rgbColor rgb="FFFFD966"/>
      <rgbColor rgb="FFE3AB00"/>
      <rgbColor rgb="FFED7D31"/>
      <rgbColor rgb="FF666666"/>
      <rgbColor rgb="FF929292"/>
      <rgbColor rgb="FF003366"/>
      <rgbColor rgb="FF639A3F"/>
      <rgbColor rgb="FF003300"/>
      <rgbColor rgb="FF333300"/>
      <rgbColor rgb="FF993300"/>
      <rgbColor rgb="FF993366"/>
      <rgbColor rgb="FF535353"/>
      <rgbColor rgb="FF222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Employee Performance: Revenue / Expenses / Profit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'Performance Dashboard'!$C$5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472C4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'Performance Dashboard'!$A$6:$A$14</c:f>
              <c:strCache>
                <c:ptCount val="9"/>
                <c:pt idx="0">
                  <c:v>FAIZAL</c:v>
                </c:pt>
                <c:pt idx="1">
                  <c:v>WASIK</c:v>
                </c:pt>
                <c:pt idx="2">
                  <c:v>AMAL</c:v>
                </c:pt>
                <c:pt idx="3">
                  <c:v>SANIL</c:v>
                </c:pt>
                <c:pt idx="4">
                  <c:v>CYRIL</c:v>
                </c:pt>
                <c:pt idx="5">
                  <c:v>KISHORE</c:v>
                </c:pt>
                <c:pt idx="6">
                  <c:v>CRL/JML</c:v>
                </c:pt>
                <c:pt idx="7">
                  <c:v>ARIF KISOR</c:v>
                </c:pt>
                <c:pt idx="8">
                  <c:v>RAKIB</c:v>
                </c:pt>
              </c:strCache>
            </c:strRef>
          </c:cat>
          <c:val>
            <c:numRef>
              <c:f>'Performance Dashboard'!$C$6:$C$14</c:f>
              <c:numCache>
                <c:formatCode>#,##0.00</c:formatCode>
                <c:ptCount val="9"/>
                <c:pt idx="0">
                  <c:v>7585</c:v>
                </c:pt>
                <c:pt idx="1">
                  <c:v>11396</c:v>
                </c:pt>
                <c:pt idx="2">
                  <c:v>1400</c:v>
                </c:pt>
                <c:pt idx="3">
                  <c:v>1300</c:v>
                </c:pt>
                <c:pt idx="4">
                  <c:v>0</c:v>
                </c:pt>
                <c:pt idx="5">
                  <c:v>513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2-49A5-B911-ECBA63F98F72}"/>
            </c:ext>
          </c:extLst>
        </c:ser>
        <c:ser>
          <c:idx val="1"/>
          <c:order val="1"/>
          <c:tx>
            <c:strRef>
              <c:f>'Performance Dashboard'!$D$5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ED7D31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'Performance Dashboard'!$A$6:$A$14</c:f>
              <c:strCache>
                <c:ptCount val="9"/>
                <c:pt idx="0">
                  <c:v>FAIZAL</c:v>
                </c:pt>
                <c:pt idx="1">
                  <c:v>WASIK</c:v>
                </c:pt>
                <c:pt idx="2">
                  <c:v>AMAL</c:v>
                </c:pt>
                <c:pt idx="3">
                  <c:v>SANIL</c:v>
                </c:pt>
                <c:pt idx="4">
                  <c:v>CYRIL</c:v>
                </c:pt>
                <c:pt idx="5">
                  <c:v>KISHORE</c:v>
                </c:pt>
                <c:pt idx="6">
                  <c:v>CRL/JML</c:v>
                </c:pt>
                <c:pt idx="7">
                  <c:v>ARIF KISOR</c:v>
                </c:pt>
                <c:pt idx="8">
                  <c:v>RAKIB</c:v>
                </c:pt>
              </c:strCache>
            </c:strRef>
          </c:cat>
          <c:val>
            <c:numRef>
              <c:f>'Performance Dashboard'!$D$6:$D$14</c:f>
              <c:numCache>
                <c:formatCode>#,##0.00</c:formatCode>
                <c:ptCount val="9"/>
                <c:pt idx="0">
                  <c:v>160</c:v>
                </c:pt>
                <c:pt idx="1">
                  <c:v>5309.07</c:v>
                </c:pt>
                <c:pt idx="2">
                  <c:v>65</c:v>
                </c:pt>
                <c:pt idx="3">
                  <c:v>605</c:v>
                </c:pt>
                <c:pt idx="4">
                  <c:v>77</c:v>
                </c:pt>
                <c:pt idx="5">
                  <c:v>297.2</c:v>
                </c:pt>
                <c:pt idx="6">
                  <c:v>185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82-49A5-B911-ECBA63F98F72}"/>
            </c:ext>
          </c:extLst>
        </c:ser>
        <c:ser>
          <c:idx val="2"/>
          <c:order val="2"/>
          <c:tx>
            <c:strRef>
              <c:f>'Performance Dashboard'!$E$5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A5A5A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'Performance Dashboard'!$A$6:$A$14</c:f>
              <c:strCache>
                <c:ptCount val="9"/>
                <c:pt idx="0">
                  <c:v>FAIZAL</c:v>
                </c:pt>
                <c:pt idx="1">
                  <c:v>WASIK</c:v>
                </c:pt>
                <c:pt idx="2">
                  <c:v>AMAL</c:v>
                </c:pt>
                <c:pt idx="3">
                  <c:v>SANIL</c:v>
                </c:pt>
                <c:pt idx="4">
                  <c:v>CYRIL</c:v>
                </c:pt>
                <c:pt idx="5">
                  <c:v>KISHORE</c:v>
                </c:pt>
                <c:pt idx="6">
                  <c:v>CRL/JML</c:v>
                </c:pt>
                <c:pt idx="7">
                  <c:v>ARIF KISOR</c:v>
                </c:pt>
                <c:pt idx="8">
                  <c:v>RAKIB</c:v>
                </c:pt>
              </c:strCache>
            </c:strRef>
          </c:cat>
          <c:val>
            <c:numRef>
              <c:f>'Performance Dashboard'!$E$6:$E$14</c:f>
              <c:numCache>
                <c:formatCode>#,##0.00</c:formatCode>
                <c:ptCount val="9"/>
                <c:pt idx="0">
                  <c:v>7900</c:v>
                </c:pt>
                <c:pt idx="1">
                  <c:v>7683.83</c:v>
                </c:pt>
                <c:pt idx="2">
                  <c:v>1755</c:v>
                </c:pt>
                <c:pt idx="3">
                  <c:v>1300</c:v>
                </c:pt>
                <c:pt idx="4">
                  <c:v>104</c:v>
                </c:pt>
                <c:pt idx="5">
                  <c:v>215.8</c:v>
                </c:pt>
                <c:pt idx="6">
                  <c:v>25</c:v>
                </c:pt>
                <c:pt idx="7">
                  <c:v>300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82-49A5-B911-ECBA63F98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184807"/>
        <c:axId val="21757426"/>
      </c:barChart>
      <c:catAx>
        <c:axId val="671848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Staff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757426"/>
        <c:crosses val="autoZero"/>
        <c:auto val="1"/>
        <c:lblAlgn val="ctr"/>
        <c:lblOffset val="100"/>
        <c:noMultiLvlLbl val="0"/>
      </c:catAx>
      <c:valAx>
        <c:axId val="217574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QAR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18480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Work Type Performance: Revenue vs Profit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'Performance Dashboard'!$C$18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472C4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'Performance Dashboard'!$A$19:$A$24</c:f>
              <c:strCache>
                <c:ptCount val="6"/>
                <c:pt idx="0">
                  <c:v>Mechanical</c:v>
                </c:pt>
                <c:pt idx="1">
                  <c:v>Calibration</c:v>
                </c:pt>
                <c:pt idx="2">
                  <c:v>Electrical</c:v>
                </c:pt>
                <c:pt idx="3">
                  <c:v>Fabrication</c:v>
                </c:pt>
                <c:pt idx="4">
                  <c:v>Other</c:v>
                </c:pt>
                <c:pt idx="5">
                  <c:v>Painting</c:v>
                </c:pt>
              </c:strCache>
            </c:strRef>
          </c:cat>
          <c:val>
            <c:numRef>
              <c:f>'Performance Dashboard'!$C$19:$C$24</c:f>
              <c:numCache>
                <c:formatCode>#,##0.00</c:formatCode>
                <c:ptCount val="6"/>
                <c:pt idx="0">
                  <c:v>8374</c:v>
                </c:pt>
                <c:pt idx="1">
                  <c:v>5777</c:v>
                </c:pt>
                <c:pt idx="2">
                  <c:v>4750</c:v>
                </c:pt>
                <c:pt idx="3">
                  <c:v>2213</c:v>
                </c:pt>
                <c:pt idx="4">
                  <c:v>1230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7-436C-80BF-DE81F8721741}"/>
            </c:ext>
          </c:extLst>
        </c:ser>
        <c:ser>
          <c:idx val="1"/>
          <c:order val="1"/>
          <c:tx>
            <c:strRef>
              <c:f>'Performance Dashboard'!$E$18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ED7D31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'Performance Dashboard'!$A$19:$A$24</c:f>
              <c:strCache>
                <c:ptCount val="6"/>
                <c:pt idx="0">
                  <c:v>Mechanical</c:v>
                </c:pt>
                <c:pt idx="1">
                  <c:v>Calibration</c:v>
                </c:pt>
                <c:pt idx="2">
                  <c:v>Electrical</c:v>
                </c:pt>
                <c:pt idx="3">
                  <c:v>Fabrication</c:v>
                </c:pt>
                <c:pt idx="4">
                  <c:v>Other</c:v>
                </c:pt>
                <c:pt idx="5">
                  <c:v>Painting</c:v>
                </c:pt>
              </c:strCache>
            </c:strRef>
          </c:cat>
          <c:val>
            <c:numRef>
              <c:f>'Performance Dashboard'!$E$19:$E$24</c:f>
              <c:numCache>
                <c:formatCode>#,##0.00</c:formatCode>
                <c:ptCount val="6"/>
                <c:pt idx="0">
                  <c:v>4702.83</c:v>
                </c:pt>
                <c:pt idx="1">
                  <c:v>5975</c:v>
                </c:pt>
                <c:pt idx="2">
                  <c:v>5225</c:v>
                </c:pt>
                <c:pt idx="3">
                  <c:v>2395.8000000000002</c:v>
                </c:pt>
                <c:pt idx="4">
                  <c:v>1135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A7-436C-80BF-DE81F8721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435378"/>
        <c:axId val="93402753"/>
      </c:barChart>
      <c:catAx>
        <c:axId val="584353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402753"/>
        <c:crosses val="autoZero"/>
        <c:auto val="1"/>
        <c:lblAlgn val="ctr"/>
        <c:lblOffset val="100"/>
        <c:noMultiLvlLbl val="0"/>
      </c:catAx>
      <c:valAx>
        <c:axId val="934027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QAR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43537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Overhead (Fixed) Expense Breakdown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'Performance Dashboard'!$B$28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472C4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3C65AE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C8E-4FC5-9198-FB4A6AF8416D}"/>
              </c:ext>
            </c:extLst>
          </c:dPt>
          <c:dPt>
            <c:idx val="1"/>
            <c:bubble3D val="0"/>
            <c:spPr>
              <a:solidFill>
                <a:srgbClr val="D36F2B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C8E-4FC5-9198-FB4A6AF8416D}"/>
              </c:ext>
            </c:extLst>
          </c:dPt>
          <c:dPt>
            <c:idx val="2"/>
            <c:bubble3D val="0"/>
            <c:spPr>
              <a:solidFill>
                <a:srgbClr val="929292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C8E-4FC5-9198-FB4A6AF8416D}"/>
              </c:ext>
            </c:extLst>
          </c:dPt>
          <c:dPt>
            <c:idx val="3"/>
            <c:bubble3D val="0"/>
            <c:spPr>
              <a:solidFill>
                <a:srgbClr val="E3AB0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C8E-4FC5-9198-FB4A6AF8416D}"/>
              </c:ext>
            </c:extLst>
          </c:dPt>
          <c:dPt>
            <c:idx val="4"/>
            <c:bubble3D val="0"/>
            <c:spPr>
              <a:solidFill>
                <a:srgbClr val="518ABD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C8E-4FC5-9198-FB4A6AF8416D}"/>
              </c:ext>
            </c:extLst>
          </c:dPt>
          <c:dPt>
            <c:idx val="5"/>
            <c:bubble3D val="0"/>
            <c:spPr>
              <a:solidFill>
                <a:srgbClr val="639A3F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C8E-4FC5-9198-FB4A6AF8416D}"/>
              </c:ext>
            </c:extLst>
          </c:dPt>
          <c:dPt>
            <c:idx val="6"/>
            <c:bubble3D val="0"/>
            <c:spPr>
              <a:solidFill>
                <a:srgbClr val="90A2D3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C8E-4FC5-9198-FB4A6AF8416D}"/>
              </c:ext>
            </c:extLst>
          </c:dPt>
          <c:dPt>
            <c:idx val="7"/>
            <c:bubble3D val="0"/>
            <c:spPr>
              <a:solidFill>
                <a:srgbClr val="F1A78B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C8E-4FC5-9198-FB4A6AF8416D}"/>
              </c:ext>
            </c:extLst>
          </c:dPt>
          <c:dPt>
            <c:idx val="8"/>
            <c:bubble3D val="0"/>
            <c:spPr>
              <a:solidFill>
                <a:srgbClr val="BFBFBF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C8E-4FC5-9198-FB4A6AF8416D}"/>
              </c:ext>
            </c:extLst>
          </c:dPt>
          <c:dPt>
            <c:idx val="9"/>
            <c:bubble3D val="0"/>
            <c:spPr>
              <a:solidFill>
                <a:srgbClr val="FFD087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C8E-4FC5-9198-FB4A6AF8416D}"/>
              </c:ext>
            </c:extLst>
          </c:dPt>
          <c:dPt>
            <c:idx val="10"/>
            <c:bubble3D val="0"/>
            <c:spPr>
              <a:solidFill>
                <a:srgbClr val="98B8DF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C8E-4FC5-9198-FB4A6AF8416D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9C8E-4FC5-9198-FB4A6AF8416D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9C8E-4FC5-9198-FB4A6AF8416D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9C8E-4FC5-9198-FB4A6AF8416D}"/>
                </c:ext>
              </c:extLst>
            </c:dLbl>
            <c:dLbl>
              <c:idx val="3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9C8E-4FC5-9198-FB4A6AF8416D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9C8E-4FC5-9198-FB4A6AF8416D}"/>
                </c:ext>
              </c:extLst>
            </c:dLbl>
            <c:dLbl>
              <c:idx val="5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9C8E-4FC5-9198-FB4A6AF8416D}"/>
                </c:ext>
              </c:extLst>
            </c:dLbl>
            <c:dLbl>
              <c:idx val="6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9C8E-4FC5-9198-FB4A6AF8416D}"/>
                </c:ext>
              </c:extLst>
            </c:dLbl>
            <c:dLbl>
              <c:idx val="7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9C8E-4FC5-9198-FB4A6AF8416D}"/>
                </c:ext>
              </c:extLst>
            </c:dLbl>
            <c:dLbl>
              <c:idx val="8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9C8E-4FC5-9198-FB4A6AF8416D}"/>
                </c:ext>
              </c:extLst>
            </c:dLbl>
            <c:dLbl>
              <c:idx val="9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3-9C8E-4FC5-9198-FB4A6AF8416D}"/>
                </c:ext>
              </c:extLst>
            </c:dLbl>
            <c:dLbl>
              <c:idx val="1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5-9C8E-4FC5-9198-FB4A6AF8416D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'Performance Dashboard'!$A$29:$A$39</c:f>
              <c:strCache>
                <c:ptCount val="11"/>
                <c:pt idx="0">
                  <c:v>Rental Store</c:v>
                </c:pt>
                <c:pt idx="1">
                  <c:v>Rental Amal</c:v>
                </c:pt>
                <c:pt idx="2">
                  <c:v>Salary Jameel</c:v>
                </c:pt>
                <c:pt idx="3">
                  <c:v>Salary Sanil</c:v>
                </c:pt>
                <c:pt idx="4">
                  <c:v>Salary Cyril</c:v>
                </c:pt>
                <c:pt idx="5">
                  <c:v>Salary Amal</c:v>
                </c:pt>
                <c:pt idx="6">
                  <c:v>Salary Rakeeb</c:v>
                </c:pt>
                <c:pt idx="7">
                  <c:v>Fuel Amal</c:v>
                </c:pt>
                <c:pt idx="8">
                  <c:v>Vehicle Expenses Amal</c:v>
                </c:pt>
                <c:pt idx="9">
                  <c:v>Miscellaneous Expenses</c:v>
                </c:pt>
                <c:pt idx="10">
                  <c:v>Telephone</c:v>
                </c:pt>
              </c:strCache>
            </c:strRef>
          </c:cat>
          <c:val>
            <c:numRef>
              <c:f>'Performance Dashboard'!$B$29:$B$39</c:f>
              <c:numCache>
                <c:formatCode>#,##0.00</c:formatCode>
                <c:ptCount val="11"/>
                <c:pt idx="0">
                  <c:v>4000</c:v>
                </c:pt>
                <c:pt idx="1">
                  <c:v>600</c:v>
                </c:pt>
                <c:pt idx="2">
                  <c:v>2300</c:v>
                </c:pt>
                <c:pt idx="3">
                  <c:v>2500</c:v>
                </c:pt>
                <c:pt idx="4">
                  <c:v>2500</c:v>
                </c:pt>
                <c:pt idx="5">
                  <c:v>4200</c:v>
                </c:pt>
                <c:pt idx="6">
                  <c:v>2000</c:v>
                </c:pt>
                <c:pt idx="7">
                  <c:v>1000</c:v>
                </c:pt>
                <c:pt idx="8">
                  <c:v>300</c:v>
                </c:pt>
                <c:pt idx="9">
                  <c:v>200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C8E-4FC5-9198-FB4A6AF84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Job Expense Hotspots by Department (Parts/Materials Cost)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'Performance Dashboard'!$B$44</c:f>
              <c:strCache>
                <c:ptCount val="1"/>
                <c:pt idx="0">
                  <c:v>Job Expenses</c:v>
                </c:pt>
              </c:strCache>
            </c:strRef>
          </c:tx>
          <c:spPr>
            <a:solidFill>
              <a:srgbClr val="4472C4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'Performance Dashboard'!$A$45:$A$50</c:f>
              <c:strCache>
                <c:ptCount val="6"/>
                <c:pt idx="0">
                  <c:v>Mechanical</c:v>
                </c:pt>
                <c:pt idx="1">
                  <c:v>Fabrication</c:v>
                </c:pt>
                <c:pt idx="2">
                  <c:v>Electrical</c:v>
                </c:pt>
                <c:pt idx="3">
                  <c:v>Calibration</c:v>
                </c:pt>
                <c:pt idx="4">
                  <c:v>Other</c:v>
                </c:pt>
                <c:pt idx="5">
                  <c:v>Painting</c:v>
                </c:pt>
              </c:strCache>
            </c:strRef>
          </c:cat>
          <c:val>
            <c:numRef>
              <c:f>'Performance Dashboard'!$B$45:$B$50</c:f>
              <c:numCache>
                <c:formatCode>#,##0.00</c:formatCode>
                <c:ptCount val="6"/>
                <c:pt idx="0">
                  <c:v>5414.07</c:v>
                </c:pt>
                <c:pt idx="1">
                  <c:v>972.2</c:v>
                </c:pt>
                <c:pt idx="2">
                  <c:v>140</c:v>
                </c:pt>
                <c:pt idx="3">
                  <c:v>137</c:v>
                </c:pt>
                <c:pt idx="4">
                  <c:v>35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E-46EF-B2C8-3E3EEDDF7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686710"/>
        <c:axId val="23818134"/>
      </c:barChart>
      <c:catAx>
        <c:axId val="426867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818134"/>
        <c:crosses val="autoZero"/>
        <c:auto val="1"/>
        <c:lblAlgn val="ctr"/>
        <c:lblOffset val="100"/>
        <c:noMultiLvlLbl val="0"/>
      </c:catAx>
      <c:valAx>
        <c:axId val="2381813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QAR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.00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68671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160920</xdr:rowOff>
    </xdr:from>
    <xdr:to>
      <xdr:col>17</xdr:col>
      <xdr:colOff>364320</xdr:colOff>
      <xdr:row>19</xdr:row>
      <xdr:rowOff>162000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20</xdr:row>
      <xdr:rowOff>160920</xdr:rowOff>
    </xdr:from>
    <xdr:to>
      <xdr:col>17</xdr:col>
      <xdr:colOff>364320</xdr:colOff>
      <xdr:row>37</xdr:row>
      <xdr:rowOff>162000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38</xdr:row>
      <xdr:rowOff>160920</xdr:rowOff>
    </xdr:from>
    <xdr:to>
      <xdr:col>16</xdr:col>
      <xdr:colOff>255960</xdr:colOff>
      <xdr:row>54</xdr:row>
      <xdr:rowOff>190440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56</xdr:row>
      <xdr:rowOff>322560</xdr:rowOff>
    </xdr:from>
    <xdr:to>
      <xdr:col>16</xdr:col>
      <xdr:colOff>255960</xdr:colOff>
      <xdr:row>69</xdr:row>
      <xdr:rowOff>78120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opLeftCell="A24" zoomScaleNormal="100" workbookViewId="0">
      <selection activeCell="T11" sqref="T11"/>
    </sheetView>
  </sheetViews>
  <sheetFormatPr defaultColWidth="8.7109375" defaultRowHeight="15" x14ac:dyDescent="0.25"/>
  <cols>
    <col min="1" max="1" width="18" customWidth="1"/>
    <col min="2" max="2" width="10" customWidth="1"/>
    <col min="3" max="3" width="14" customWidth="1"/>
    <col min="4" max="6" width="12" customWidth="1"/>
  </cols>
  <sheetData>
    <row r="1" spans="1:8" ht="18.75" customHeight="1" x14ac:dyDescent="0.3">
      <c r="A1" s="174" t="s">
        <v>0</v>
      </c>
      <c r="B1" s="172"/>
      <c r="C1" s="172"/>
      <c r="D1" s="172"/>
      <c r="E1" s="172"/>
      <c r="F1" s="172"/>
      <c r="G1" s="172"/>
      <c r="H1" s="172"/>
    </row>
    <row r="2" spans="1:8" x14ac:dyDescent="0.25">
      <c r="A2" s="173" t="s">
        <v>1</v>
      </c>
      <c r="B2" s="172"/>
      <c r="C2" s="172"/>
      <c r="D2" s="172"/>
      <c r="E2" s="172"/>
      <c r="F2" s="172"/>
      <c r="G2" s="172"/>
      <c r="H2" s="172"/>
    </row>
    <row r="4" spans="1:8" ht="15.75" customHeight="1" x14ac:dyDescent="0.25">
      <c r="A4" s="1" t="s">
        <v>2</v>
      </c>
    </row>
    <row r="5" spans="1:8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8" x14ac:dyDescent="0.25">
      <c r="A6" s="3" t="s">
        <v>9</v>
      </c>
      <c r="B6" s="3">
        <v>31</v>
      </c>
      <c r="C6" s="4">
        <v>7585</v>
      </c>
      <c r="D6" s="4">
        <v>160</v>
      </c>
      <c r="E6" s="4">
        <v>7900</v>
      </c>
      <c r="F6" s="4">
        <v>254.83870967741899</v>
      </c>
    </row>
    <row r="7" spans="1:8" x14ac:dyDescent="0.25">
      <c r="A7" s="3" t="s">
        <v>10</v>
      </c>
      <c r="B7" s="3">
        <v>26</v>
      </c>
      <c r="C7" s="4">
        <v>11396</v>
      </c>
      <c r="D7" s="4">
        <v>5309.07</v>
      </c>
      <c r="E7" s="4">
        <v>7683.83</v>
      </c>
      <c r="F7" s="4">
        <v>295.53192307692302</v>
      </c>
    </row>
    <row r="8" spans="1:8" x14ac:dyDescent="0.25">
      <c r="A8" s="3" t="s">
        <v>11</v>
      </c>
      <c r="B8" s="3">
        <v>8</v>
      </c>
      <c r="C8" s="4">
        <v>1400</v>
      </c>
      <c r="D8" s="4">
        <v>65</v>
      </c>
      <c r="E8" s="4">
        <v>1755</v>
      </c>
      <c r="F8" s="4">
        <v>219.375</v>
      </c>
    </row>
    <row r="9" spans="1:8" x14ac:dyDescent="0.25">
      <c r="A9" s="3" t="s">
        <v>12</v>
      </c>
      <c r="B9" s="3">
        <v>2</v>
      </c>
      <c r="C9" s="4">
        <v>1300</v>
      </c>
      <c r="D9" s="4">
        <v>605</v>
      </c>
      <c r="E9" s="4">
        <v>1300</v>
      </c>
      <c r="F9" s="4">
        <v>650</v>
      </c>
    </row>
    <row r="10" spans="1:8" x14ac:dyDescent="0.25">
      <c r="A10" s="3" t="s">
        <v>13</v>
      </c>
      <c r="B10" s="3">
        <v>2</v>
      </c>
      <c r="C10" s="4">
        <v>0</v>
      </c>
      <c r="D10" s="4">
        <v>77</v>
      </c>
      <c r="E10" s="4">
        <v>104</v>
      </c>
      <c r="F10" s="4">
        <v>52</v>
      </c>
    </row>
    <row r="11" spans="1:8" x14ac:dyDescent="0.25">
      <c r="A11" s="3" t="s">
        <v>14</v>
      </c>
      <c r="B11" s="3">
        <v>1</v>
      </c>
      <c r="C11" s="4">
        <v>513</v>
      </c>
      <c r="D11" s="4">
        <v>297.2</v>
      </c>
      <c r="E11" s="4">
        <v>215.8</v>
      </c>
      <c r="F11" s="4">
        <v>215.8</v>
      </c>
    </row>
    <row r="12" spans="1:8" x14ac:dyDescent="0.25">
      <c r="A12" s="3" t="s">
        <v>15</v>
      </c>
      <c r="B12" s="3">
        <v>1</v>
      </c>
      <c r="C12" s="4">
        <v>0</v>
      </c>
      <c r="D12" s="4">
        <v>185</v>
      </c>
      <c r="E12" s="4">
        <v>25</v>
      </c>
      <c r="F12" s="4">
        <v>25</v>
      </c>
    </row>
    <row r="13" spans="1:8" x14ac:dyDescent="0.25">
      <c r="A13" s="3" t="s">
        <v>16</v>
      </c>
      <c r="B13" s="3">
        <v>1</v>
      </c>
      <c r="C13" s="4">
        <v>0</v>
      </c>
      <c r="D13" s="4">
        <v>0</v>
      </c>
      <c r="E13" s="4">
        <v>300</v>
      </c>
      <c r="F13" s="4">
        <v>300</v>
      </c>
    </row>
    <row r="14" spans="1:8" x14ac:dyDescent="0.25">
      <c r="A14" s="3" t="s">
        <v>17</v>
      </c>
      <c r="B14" s="3">
        <v>1</v>
      </c>
      <c r="C14" s="4">
        <v>0</v>
      </c>
      <c r="D14" s="4">
        <v>0</v>
      </c>
      <c r="E14" s="4">
        <v>0</v>
      </c>
      <c r="F14" s="4">
        <v>0</v>
      </c>
    </row>
    <row r="17" spans="1:6" ht="15.75" customHeight="1" x14ac:dyDescent="0.25">
      <c r="A17" s="1" t="s">
        <v>18</v>
      </c>
    </row>
    <row r="18" spans="1:6" x14ac:dyDescent="0.25">
      <c r="A18" s="2" t="s">
        <v>19</v>
      </c>
      <c r="B18" s="2" t="s">
        <v>4</v>
      </c>
      <c r="C18" s="2" t="s">
        <v>5</v>
      </c>
      <c r="D18" s="2" t="s">
        <v>6</v>
      </c>
      <c r="E18" s="2" t="s">
        <v>7</v>
      </c>
      <c r="F18" s="2" t="s">
        <v>20</v>
      </c>
    </row>
    <row r="19" spans="1:6" x14ac:dyDescent="0.25">
      <c r="A19" s="3" t="s">
        <v>21</v>
      </c>
      <c r="B19" s="3">
        <v>15</v>
      </c>
      <c r="C19" s="4">
        <v>8374</v>
      </c>
      <c r="D19" s="4">
        <v>5414.07</v>
      </c>
      <c r="E19" s="4">
        <v>4702.83</v>
      </c>
      <c r="F19" s="12">
        <v>0.56159899689515203</v>
      </c>
    </row>
    <row r="20" spans="1:6" x14ac:dyDescent="0.25">
      <c r="A20" s="3" t="s">
        <v>22</v>
      </c>
      <c r="B20" s="3">
        <v>27</v>
      </c>
      <c r="C20" s="4">
        <v>5777</v>
      </c>
      <c r="D20" s="4">
        <v>137</v>
      </c>
      <c r="E20" s="4">
        <v>5975</v>
      </c>
      <c r="F20" s="12">
        <v>1.034273844556</v>
      </c>
    </row>
    <row r="21" spans="1:6" x14ac:dyDescent="0.25">
      <c r="A21" s="3" t="s">
        <v>23</v>
      </c>
      <c r="B21" s="3">
        <v>22</v>
      </c>
      <c r="C21" s="4">
        <v>4750</v>
      </c>
      <c r="D21" s="4">
        <v>140</v>
      </c>
      <c r="E21" s="4">
        <v>5225</v>
      </c>
      <c r="F21" s="12">
        <v>1.1000000000000001</v>
      </c>
    </row>
    <row r="22" spans="1:6" x14ac:dyDescent="0.25">
      <c r="A22" s="3" t="s">
        <v>24</v>
      </c>
      <c r="B22" s="3">
        <v>6</v>
      </c>
      <c r="C22" s="4">
        <v>2213</v>
      </c>
      <c r="D22" s="4">
        <v>972.2</v>
      </c>
      <c r="E22" s="4">
        <v>2395.8000000000002</v>
      </c>
      <c r="F22" s="12">
        <v>1.0826028016267499</v>
      </c>
    </row>
    <row r="23" spans="1:6" x14ac:dyDescent="0.25">
      <c r="A23" s="3" t="s">
        <v>25</v>
      </c>
      <c r="B23" s="3">
        <v>3</v>
      </c>
      <c r="C23" s="4">
        <v>1230</v>
      </c>
      <c r="D23" s="4">
        <v>35</v>
      </c>
      <c r="E23" s="4">
        <v>1135</v>
      </c>
      <c r="F23" s="12">
        <v>0.92276422764227595</v>
      </c>
    </row>
    <row r="24" spans="1:6" x14ac:dyDescent="0.25">
      <c r="A24" s="3" t="s">
        <v>26</v>
      </c>
      <c r="B24" s="3">
        <v>1</v>
      </c>
      <c r="C24" s="4">
        <v>0</v>
      </c>
      <c r="D24" s="4">
        <v>0</v>
      </c>
      <c r="E24" s="4">
        <v>0</v>
      </c>
      <c r="F24" s="12">
        <v>0</v>
      </c>
    </row>
    <row r="27" spans="1:6" ht="15.75" customHeight="1" x14ac:dyDescent="0.25">
      <c r="A27" s="1" t="s">
        <v>27</v>
      </c>
    </row>
    <row r="28" spans="1:6" x14ac:dyDescent="0.25">
      <c r="A28" s="2" t="s">
        <v>28</v>
      </c>
      <c r="B28" s="2" t="s">
        <v>29</v>
      </c>
    </row>
    <row r="29" spans="1:6" x14ac:dyDescent="0.25">
      <c r="A29" s="3" t="s">
        <v>30</v>
      </c>
      <c r="B29" s="4">
        <v>4000</v>
      </c>
    </row>
    <row r="30" spans="1:6" x14ac:dyDescent="0.25">
      <c r="A30" s="3" t="s">
        <v>31</v>
      </c>
      <c r="B30" s="4">
        <v>600</v>
      </c>
    </row>
    <row r="31" spans="1:6" x14ac:dyDescent="0.25">
      <c r="A31" s="3" t="s">
        <v>32</v>
      </c>
      <c r="B31" s="4">
        <v>2300</v>
      </c>
    </row>
    <row r="32" spans="1:6" x14ac:dyDescent="0.25">
      <c r="A32" s="3" t="s">
        <v>33</v>
      </c>
      <c r="B32" s="4">
        <v>2500</v>
      </c>
    </row>
    <row r="33" spans="1:3" x14ac:dyDescent="0.25">
      <c r="A33" s="3" t="s">
        <v>34</v>
      </c>
      <c r="B33" s="4">
        <v>2500</v>
      </c>
    </row>
    <row r="34" spans="1:3" x14ac:dyDescent="0.25">
      <c r="A34" s="3" t="s">
        <v>35</v>
      </c>
      <c r="B34" s="4">
        <v>4200</v>
      </c>
    </row>
    <row r="35" spans="1:3" x14ac:dyDescent="0.25">
      <c r="A35" s="3" t="s">
        <v>36</v>
      </c>
      <c r="B35" s="4">
        <v>2000</v>
      </c>
    </row>
    <row r="36" spans="1:3" x14ac:dyDescent="0.25">
      <c r="A36" s="3" t="s">
        <v>37</v>
      </c>
      <c r="B36" s="4">
        <v>1000</v>
      </c>
    </row>
    <row r="37" spans="1:3" x14ac:dyDescent="0.25">
      <c r="A37" s="3" t="s">
        <v>38</v>
      </c>
      <c r="B37" s="4">
        <v>300</v>
      </c>
    </row>
    <row r="38" spans="1:3" x14ac:dyDescent="0.25">
      <c r="A38" s="3" t="s">
        <v>39</v>
      </c>
      <c r="B38" s="4">
        <v>200</v>
      </c>
    </row>
    <row r="39" spans="1:3" x14ac:dyDescent="0.25">
      <c r="A39" s="3" t="s">
        <v>40</v>
      </c>
      <c r="B39" s="4">
        <v>100</v>
      </c>
    </row>
    <row r="40" spans="1:3" x14ac:dyDescent="0.25">
      <c r="A40" s="5" t="s">
        <v>41</v>
      </c>
      <c r="B40" s="6">
        <f>SUM(B29:B39)</f>
        <v>19700</v>
      </c>
    </row>
    <row r="43" spans="1:3" ht="15.75" customHeight="1" x14ac:dyDescent="0.25">
      <c r="A43" s="1" t="s">
        <v>42</v>
      </c>
    </row>
    <row r="44" spans="1:3" x14ac:dyDescent="0.25">
      <c r="A44" s="2" t="s">
        <v>19</v>
      </c>
      <c r="B44" s="2" t="s">
        <v>43</v>
      </c>
      <c r="C44" s="2" t="s">
        <v>44</v>
      </c>
    </row>
    <row r="45" spans="1:3" x14ac:dyDescent="0.25">
      <c r="A45" s="3" t="s">
        <v>21</v>
      </c>
      <c r="B45" s="4">
        <v>5414.07</v>
      </c>
      <c r="C45" s="12">
        <v>0.80827885409217604</v>
      </c>
    </row>
    <row r="46" spans="1:3" x14ac:dyDescent="0.25">
      <c r="A46" s="3" t="s">
        <v>24</v>
      </c>
      <c r="B46" s="4">
        <v>972.2</v>
      </c>
      <c r="C46" s="12">
        <v>0.145141954564388</v>
      </c>
    </row>
    <row r="47" spans="1:3" x14ac:dyDescent="0.25">
      <c r="A47" s="3" t="s">
        <v>23</v>
      </c>
      <c r="B47" s="4">
        <v>140</v>
      </c>
      <c r="C47" s="12">
        <v>2.0900919192567601E-2</v>
      </c>
    </row>
    <row r="48" spans="1:3" x14ac:dyDescent="0.25">
      <c r="A48" s="3" t="s">
        <v>22</v>
      </c>
      <c r="B48" s="4">
        <v>137</v>
      </c>
      <c r="C48" s="12">
        <v>2.0453042352726901E-2</v>
      </c>
    </row>
    <row r="49" spans="1:6" x14ac:dyDescent="0.25">
      <c r="A49" s="3" t="s">
        <v>25</v>
      </c>
      <c r="B49" s="4">
        <v>35</v>
      </c>
      <c r="C49" s="12">
        <v>5.2252297981419098E-3</v>
      </c>
    </row>
    <row r="50" spans="1:6" x14ac:dyDescent="0.25">
      <c r="A50" s="3" t="s">
        <v>26</v>
      </c>
      <c r="B50" s="4">
        <v>0</v>
      </c>
      <c r="C50" s="12">
        <v>0</v>
      </c>
    </row>
    <row r="53" spans="1:6" ht="15.75" customHeight="1" x14ac:dyDescent="0.25">
      <c r="A53" s="1" t="s">
        <v>45</v>
      </c>
    </row>
    <row r="54" spans="1:6" ht="27.75" customHeight="1" x14ac:dyDescent="0.25">
      <c r="A54" s="171" t="s">
        <v>46</v>
      </c>
      <c r="B54" s="172"/>
      <c r="C54" s="172"/>
      <c r="D54" s="172"/>
      <c r="E54" s="172"/>
      <c r="F54" s="172"/>
    </row>
    <row r="55" spans="1:6" ht="27.75" customHeight="1" x14ac:dyDescent="0.25">
      <c r="A55" s="171" t="s">
        <v>47</v>
      </c>
      <c r="B55" s="172"/>
      <c r="C55" s="172"/>
      <c r="D55" s="172"/>
      <c r="E55" s="172"/>
      <c r="F55" s="172"/>
    </row>
    <row r="56" spans="1:6" ht="27.75" customHeight="1" x14ac:dyDescent="0.25">
      <c r="A56" s="171" t="s">
        <v>48</v>
      </c>
      <c r="B56" s="172"/>
      <c r="C56" s="172"/>
      <c r="D56" s="172"/>
      <c r="E56" s="172"/>
      <c r="F56" s="172"/>
    </row>
    <row r="57" spans="1:6" ht="27.75" customHeight="1" x14ac:dyDescent="0.25">
      <c r="A57" s="171" t="s">
        <v>49</v>
      </c>
      <c r="B57" s="172"/>
      <c r="C57" s="172"/>
      <c r="D57" s="172"/>
      <c r="E57" s="172"/>
      <c r="F57" s="172"/>
    </row>
    <row r="58" spans="1:6" ht="27.75" customHeight="1" x14ac:dyDescent="0.25">
      <c r="A58" s="171" t="s">
        <v>50</v>
      </c>
      <c r="B58" s="172"/>
      <c r="C58" s="172"/>
      <c r="D58" s="172"/>
      <c r="E58" s="172"/>
      <c r="F58" s="172"/>
    </row>
    <row r="59" spans="1:6" ht="27.75" customHeight="1" x14ac:dyDescent="0.25">
      <c r="A59" s="171" t="s">
        <v>51</v>
      </c>
      <c r="B59" s="172"/>
      <c r="C59" s="172"/>
      <c r="D59" s="172"/>
      <c r="E59" s="172"/>
      <c r="F59" s="172"/>
    </row>
    <row r="60" spans="1:6" ht="27.75" customHeight="1" x14ac:dyDescent="0.25">
      <c r="A60" s="171" t="s">
        <v>52</v>
      </c>
      <c r="B60" s="172"/>
      <c r="C60" s="172"/>
      <c r="D60" s="172"/>
      <c r="E60" s="172"/>
      <c r="F60" s="172"/>
    </row>
  </sheetData>
  <mergeCells count="9">
    <mergeCell ref="A60:F60"/>
    <mergeCell ref="A2:H2"/>
    <mergeCell ref="A58:F58"/>
    <mergeCell ref="A56:F56"/>
    <mergeCell ref="A1:H1"/>
    <mergeCell ref="A55:F55"/>
    <mergeCell ref="A59:F59"/>
    <mergeCell ref="A57:F57"/>
    <mergeCell ref="A54:F54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zoomScaleNormal="100" workbookViewId="0">
      <selection activeCell="T11" sqref="T11"/>
    </sheetView>
  </sheetViews>
  <sheetFormatPr defaultColWidth="8.7109375" defaultRowHeight="15" x14ac:dyDescent="0.25"/>
  <cols>
    <col min="1" max="1" width="16" customWidth="1"/>
    <col min="2" max="2" width="8" customWidth="1"/>
    <col min="3" max="3" width="18" customWidth="1"/>
    <col min="4" max="5" width="12" customWidth="1"/>
    <col min="6" max="7" width="10" customWidth="1"/>
    <col min="8" max="8" width="40" customWidth="1"/>
  </cols>
  <sheetData>
    <row r="1" spans="1:8" ht="17.25" customHeight="1" x14ac:dyDescent="0.3">
      <c r="A1" s="174" t="s">
        <v>53</v>
      </c>
      <c r="B1" s="172"/>
      <c r="C1" s="172"/>
      <c r="D1" s="172"/>
      <c r="E1" s="172"/>
      <c r="F1" s="172"/>
      <c r="G1" s="172"/>
      <c r="H1" s="172"/>
    </row>
    <row r="2" spans="1:8" ht="15" customHeight="1" x14ac:dyDescent="0.25">
      <c r="A2" s="173" t="s">
        <v>54</v>
      </c>
      <c r="B2" s="172"/>
      <c r="C2" s="172"/>
      <c r="D2" s="172"/>
      <c r="E2" s="172"/>
      <c r="F2" s="172"/>
      <c r="G2" s="172"/>
      <c r="H2" s="172"/>
    </row>
    <row r="4" spans="1:8" ht="15" customHeight="1" x14ac:dyDescent="0.25">
      <c r="A4" s="2" t="s">
        <v>19</v>
      </c>
      <c r="B4" s="2" t="s">
        <v>4</v>
      </c>
      <c r="C4" s="2" t="s">
        <v>55</v>
      </c>
      <c r="D4" s="2" t="s">
        <v>6</v>
      </c>
      <c r="E4" s="2" t="s">
        <v>7</v>
      </c>
      <c r="F4" s="2" t="s">
        <v>56</v>
      </c>
      <c r="G4" s="2" t="s">
        <v>20</v>
      </c>
      <c r="H4" s="2" t="s">
        <v>57</v>
      </c>
    </row>
    <row r="5" spans="1:8" ht="15" customHeight="1" x14ac:dyDescent="0.25">
      <c r="A5" s="3" t="s">
        <v>22</v>
      </c>
      <c r="B5" s="3">
        <v>27</v>
      </c>
      <c r="C5" s="4">
        <v>5777</v>
      </c>
      <c r="D5" s="4">
        <v>137</v>
      </c>
      <c r="E5" s="4">
        <v>5975</v>
      </c>
      <c r="F5" s="3">
        <v>7</v>
      </c>
      <c r="G5" s="12">
        <v>1.034</v>
      </c>
      <c r="H5" s="7" t="s">
        <v>58</v>
      </c>
    </row>
    <row r="6" spans="1:8" ht="15" customHeight="1" x14ac:dyDescent="0.25">
      <c r="A6" s="3" t="s">
        <v>23</v>
      </c>
      <c r="B6" s="3">
        <v>22</v>
      </c>
      <c r="C6" s="4">
        <v>4750</v>
      </c>
      <c r="D6" s="4">
        <v>140</v>
      </c>
      <c r="E6" s="4">
        <v>5225</v>
      </c>
      <c r="F6" s="3">
        <v>4</v>
      </c>
      <c r="G6" s="12">
        <v>1.1000000000000001</v>
      </c>
      <c r="H6" s="7" t="s">
        <v>58</v>
      </c>
    </row>
    <row r="7" spans="1:8" ht="15" customHeight="1" x14ac:dyDescent="0.25">
      <c r="A7" s="3" t="s">
        <v>24</v>
      </c>
      <c r="B7" s="3">
        <v>6</v>
      </c>
      <c r="C7" s="4">
        <v>2213</v>
      </c>
      <c r="D7" s="4">
        <v>972.2</v>
      </c>
      <c r="E7" s="4">
        <v>2395.8000000000002</v>
      </c>
      <c r="F7" s="3">
        <v>0</v>
      </c>
      <c r="G7" s="12">
        <v>1.083</v>
      </c>
      <c r="H7" s="7" t="s">
        <v>58</v>
      </c>
    </row>
    <row r="8" spans="1:8" ht="15" customHeight="1" x14ac:dyDescent="0.25">
      <c r="A8" s="3" t="s">
        <v>21</v>
      </c>
      <c r="B8" s="3">
        <v>15</v>
      </c>
      <c r="C8" s="4">
        <v>8374</v>
      </c>
      <c r="D8" s="4">
        <v>5414.07</v>
      </c>
      <c r="E8" s="4">
        <v>4702.83</v>
      </c>
      <c r="F8" s="3">
        <v>0</v>
      </c>
      <c r="G8" s="12">
        <v>0.56200000000000006</v>
      </c>
      <c r="H8" s="8" t="s">
        <v>59</v>
      </c>
    </row>
    <row r="9" spans="1:8" ht="15" customHeight="1" x14ac:dyDescent="0.25">
      <c r="A9" s="3" t="s">
        <v>26</v>
      </c>
      <c r="B9" s="3">
        <v>1</v>
      </c>
      <c r="C9" s="4">
        <v>0</v>
      </c>
      <c r="D9" s="4">
        <v>0</v>
      </c>
      <c r="E9" s="4">
        <v>0</v>
      </c>
      <c r="F9" s="3">
        <v>0</v>
      </c>
      <c r="G9" s="12">
        <v>0</v>
      </c>
      <c r="H9" s="8" t="s">
        <v>60</v>
      </c>
    </row>
    <row r="10" spans="1:8" ht="15" customHeight="1" x14ac:dyDescent="0.25">
      <c r="A10" s="3" t="s">
        <v>25</v>
      </c>
      <c r="B10" s="3">
        <v>3</v>
      </c>
      <c r="C10" s="4">
        <v>1230</v>
      </c>
      <c r="D10" s="4">
        <v>35</v>
      </c>
      <c r="E10" s="4">
        <v>1135</v>
      </c>
      <c r="F10" s="3">
        <v>1</v>
      </c>
      <c r="G10" s="12">
        <v>0.92300000000000004</v>
      </c>
      <c r="H10" s="7" t="s">
        <v>58</v>
      </c>
    </row>
    <row r="11" spans="1:8" ht="15" customHeight="1" x14ac:dyDescent="0.25">
      <c r="A11" s="5" t="s">
        <v>61</v>
      </c>
      <c r="B11" s="5">
        <v>74</v>
      </c>
      <c r="C11" s="5">
        <v>22344</v>
      </c>
      <c r="D11" s="5">
        <v>6698.27</v>
      </c>
      <c r="E11" s="5">
        <v>19433.63</v>
      </c>
      <c r="F11" s="5">
        <v>12</v>
      </c>
      <c r="G11" s="9"/>
      <c r="H11" s="9"/>
    </row>
    <row r="13" spans="1:8" ht="15" customHeight="1" x14ac:dyDescent="0.25">
      <c r="A13" s="1" t="s">
        <v>62</v>
      </c>
    </row>
    <row r="14" spans="1:8" ht="30" customHeight="1" x14ac:dyDescent="0.25">
      <c r="A14" s="171" t="s">
        <v>63</v>
      </c>
      <c r="B14" s="172"/>
      <c r="C14" s="172"/>
      <c r="D14" s="172"/>
      <c r="E14" s="172"/>
      <c r="F14" s="172"/>
      <c r="G14" s="172"/>
      <c r="H14" s="172"/>
    </row>
    <row r="15" spans="1:8" ht="30" customHeight="1" x14ac:dyDescent="0.25">
      <c r="A15" s="171" t="s">
        <v>64</v>
      </c>
      <c r="B15" s="172"/>
      <c r="C15" s="172"/>
      <c r="D15" s="172"/>
      <c r="E15" s="172"/>
      <c r="F15" s="172"/>
      <c r="G15" s="172"/>
      <c r="H15" s="172"/>
    </row>
    <row r="16" spans="1:8" ht="30" customHeight="1" x14ac:dyDescent="0.25">
      <c r="A16" s="171" t="s">
        <v>65</v>
      </c>
      <c r="B16" s="172"/>
      <c r="C16" s="172"/>
      <c r="D16" s="172"/>
      <c r="E16" s="172"/>
      <c r="F16" s="172"/>
      <c r="G16" s="172"/>
      <c r="H16" s="172"/>
    </row>
    <row r="17" spans="1:8" ht="30" customHeight="1" x14ac:dyDescent="0.25">
      <c r="A17" s="171" t="s">
        <v>66</v>
      </c>
      <c r="B17" s="172"/>
      <c r="C17" s="172"/>
      <c r="D17" s="172"/>
      <c r="E17" s="172"/>
      <c r="F17" s="172"/>
      <c r="G17" s="172"/>
      <c r="H17" s="172"/>
    </row>
    <row r="18" spans="1:8" ht="30" customHeight="1" x14ac:dyDescent="0.25">
      <c r="A18" s="171" t="s">
        <v>67</v>
      </c>
      <c r="B18" s="172"/>
      <c r="C18" s="172"/>
      <c r="D18" s="172"/>
      <c r="E18" s="172"/>
      <c r="F18" s="172"/>
      <c r="G18" s="172"/>
      <c r="H18" s="172"/>
    </row>
    <row r="19" spans="1:8" ht="30" customHeight="1" x14ac:dyDescent="0.25">
      <c r="A19" s="171" t="s">
        <v>68</v>
      </c>
      <c r="B19" s="172"/>
      <c r="C19" s="172"/>
      <c r="D19" s="172"/>
      <c r="E19" s="172"/>
      <c r="F19" s="172"/>
      <c r="G19" s="172"/>
      <c r="H19" s="172"/>
    </row>
  </sheetData>
  <mergeCells count="8">
    <mergeCell ref="A19:H19"/>
    <mergeCell ref="A14:H14"/>
    <mergeCell ref="A1:H1"/>
    <mergeCell ref="A17:H17"/>
    <mergeCell ref="A18:H18"/>
    <mergeCell ref="A15:H15"/>
    <mergeCell ref="A16:H16"/>
    <mergeCell ref="A2:H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59F32-4086-4E89-A556-FACB13DCD034}">
  <dimension ref="A1:Y99"/>
  <sheetViews>
    <sheetView zoomScaleNormal="100" workbookViewId="0">
      <pane ySplit="1" topLeftCell="A44" activePane="bottomLeft" state="frozen"/>
      <selection pane="bottomLeft" activeCell="C60" sqref="C60"/>
    </sheetView>
  </sheetViews>
  <sheetFormatPr defaultRowHeight="15" x14ac:dyDescent="0.25"/>
  <cols>
    <col min="1" max="1" width="4.42578125" customWidth="1"/>
    <col min="3" max="3" width="22.28515625" style="84" customWidth="1"/>
    <col min="4" max="4" width="13.28515625" bestFit="1" customWidth="1"/>
    <col min="5" max="5" width="7.5703125" bestFit="1" customWidth="1"/>
    <col min="6" max="6" width="25.28515625" style="84" bestFit="1" customWidth="1"/>
    <col min="7" max="7" width="11" bestFit="1" customWidth="1"/>
    <col min="9" max="9" width="14.85546875" style="84" customWidth="1"/>
    <col min="10" max="10" width="12.5703125" style="84" bestFit="1" customWidth="1"/>
    <col min="11" max="11" width="16.5703125" bestFit="1" customWidth="1"/>
    <col min="12" max="12" width="15" customWidth="1"/>
    <col min="13" max="13" width="27.42578125" bestFit="1" customWidth="1"/>
    <col min="14" max="14" width="15.28515625" customWidth="1"/>
    <col min="15" max="15" width="17.140625" bestFit="1" customWidth="1"/>
    <col min="16" max="16" width="9.28515625" style="60" customWidth="1"/>
    <col min="17" max="17" width="14" customWidth="1"/>
    <col min="18" max="18" width="17" customWidth="1"/>
    <col min="19" max="19" width="22" customWidth="1"/>
    <col min="20" max="20" width="9.140625" customWidth="1"/>
    <col min="21" max="21" width="12.5703125" customWidth="1"/>
    <col min="22" max="22" width="23.42578125" bestFit="1" customWidth="1"/>
    <col min="23" max="23" width="21.85546875" customWidth="1"/>
    <col min="25" max="25" width="16" bestFit="1" customWidth="1"/>
  </cols>
  <sheetData>
    <row r="1" spans="1:25" x14ac:dyDescent="0.25">
      <c r="A1" s="20" t="s">
        <v>464</v>
      </c>
      <c r="B1" s="21" t="s">
        <v>69</v>
      </c>
      <c r="C1" s="78" t="s">
        <v>70</v>
      </c>
      <c r="D1" s="13" t="s">
        <v>71</v>
      </c>
      <c r="E1" s="13" t="s">
        <v>72</v>
      </c>
      <c r="F1" s="78" t="s">
        <v>73</v>
      </c>
      <c r="G1" s="13" t="s">
        <v>74</v>
      </c>
      <c r="H1" s="14" t="s">
        <v>75</v>
      </c>
      <c r="I1" s="92" t="s">
        <v>3</v>
      </c>
      <c r="J1" s="92" t="s">
        <v>423</v>
      </c>
      <c r="K1" s="14" t="s">
        <v>461</v>
      </c>
      <c r="L1" s="14" t="s">
        <v>458</v>
      </c>
      <c r="M1" s="14" t="s">
        <v>462</v>
      </c>
      <c r="N1" s="14" t="s">
        <v>43</v>
      </c>
      <c r="O1" s="14" t="s">
        <v>459</v>
      </c>
      <c r="P1" s="55"/>
      <c r="Q1" s="14" t="s">
        <v>76</v>
      </c>
      <c r="R1" s="13" t="s">
        <v>77</v>
      </c>
      <c r="S1" s="13" t="s">
        <v>78</v>
      </c>
      <c r="T1" s="14" t="s">
        <v>79</v>
      </c>
      <c r="U1" s="23" t="s">
        <v>19</v>
      </c>
      <c r="V1" s="25"/>
      <c r="W1" s="20"/>
      <c r="X1" s="20"/>
      <c r="Y1" s="20"/>
    </row>
    <row r="2" spans="1:25" x14ac:dyDescent="0.25">
      <c r="A2" s="20">
        <v>1</v>
      </c>
      <c r="B2" s="22">
        <v>46208</v>
      </c>
      <c r="C2" s="79" t="s">
        <v>425</v>
      </c>
      <c r="D2" s="18" t="s">
        <v>80</v>
      </c>
      <c r="E2" s="18">
        <v>1</v>
      </c>
      <c r="F2" s="79" t="s">
        <v>90</v>
      </c>
      <c r="G2" s="18">
        <v>195738</v>
      </c>
      <c r="H2" s="19">
        <v>762</v>
      </c>
      <c r="I2" s="93" t="s">
        <v>17</v>
      </c>
      <c r="J2" s="80" t="s">
        <v>431</v>
      </c>
      <c r="K2" s="16">
        <f>M2-L2</f>
        <v>763</v>
      </c>
      <c r="L2" s="16">
        <v>552</v>
      </c>
      <c r="M2" s="16">
        <v>1315</v>
      </c>
      <c r="N2" s="16">
        <v>763</v>
      </c>
      <c r="O2" s="17">
        <f>M2-N2</f>
        <v>552</v>
      </c>
      <c r="P2" s="30" t="s">
        <v>81</v>
      </c>
      <c r="Q2" s="31"/>
      <c r="R2" s="32"/>
      <c r="S2" s="32"/>
      <c r="T2" s="24"/>
      <c r="U2" s="20"/>
      <c r="V2" s="20"/>
      <c r="W2" s="20"/>
    </row>
    <row r="3" spans="1:25" x14ac:dyDescent="0.25">
      <c r="A3" s="20">
        <v>2</v>
      </c>
      <c r="B3" s="36">
        <v>46209</v>
      </c>
      <c r="C3" s="80" t="s">
        <v>434</v>
      </c>
      <c r="D3" s="18" t="s">
        <v>80</v>
      </c>
      <c r="E3" s="18">
        <v>1</v>
      </c>
      <c r="F3" s="80" t="s">
        <v>92</v>
      </c>
      <c r="G3" s="30">
        <v>52798</v>
      </c>
      <c r="H3" s="37">
        <v>763</v>
      </c>
      <c r="I3" s="94" t="s">
        <v>422</v>
      </c>
      <c r="J3" s="94" t="s">
        <v>432</v>
      </c>
      <c r="K3" s="16">
        <v>0</v>
      </c>
      <c r="L3" s="16">
        <v>0</v>
      </c>
      <c r="M3" s="16">
        <v>0</v>
      </c>
      <c r="N3" s="16">
        <v>0</v>
      </c>
      <c r="O3" s="17">
        <f t="shared" ref="O3:O9" si="0">M3+N3</f>
        <v>0</v>
      </c>
      <c r="P3" s="30" t="s">
        <v>81</v>
      </c>
      <c r="Q3" s="31"/>
      <c r="R3" s="32" t="s">
        <v>94</v>
      </c>
      <c r="S3" s="32"/>
      <c r="T3" s="24"/>
      <c r="U3" s="20"/>
      <c r="V3" s="20"/>
      <c r="W3" s="20"/>
    </row>
    <row r="4" spans="1:25" x14ac:dyDescent="0.25">
      <c r="A4" s="20">
        <v>3</v>
      </c>
      <c r="B4" s="36">
        <v>46210</v>
      </c>
      <c r="C4" s="80" t="s">
        <v>435</v>
      </c>
      <c r="D4" s="18" t="s">
        <v>80</v>
      </c>
      <c r="E4" s="18">
        <v>1</v>
      </c>
      <c r="F4" s="80" t="s">
        <v>83</v>
      </c>
      <c r="G4" s="30">
        <v>264851</v>
      </c>
      <c r="H4" s="37">
        <v>764</v>
      </c>
      <c r="I4" s="94" t="s">
        <v>422</v>
      </c>
      <c r="J4" s="94" t="s">
        <v>432</v>
      </c>
      <c r="K4" s="16">
        <v>0</v>
      </c>
      <c r="L4" s="16">
        <v>0</v>
      </c>
      <c r="M4" s="16">
        <v>0</v>
      </c>
      <c r="N4" s="16">
        <v>0</v>
      </c>
      <c r="O4" s="17">
        <f t="shared" si="0"/>
        <v>0</v>
      </c>
      <c r="P4" s="30" t="s">
        <v>81</v>
      </c>
      <c r="Q4" s="31"/>
      <c r="R4" s="32" t="s">
        <v>94</v>
      </c>
      <c r="S4" s="32"/>
      <c r="T4" s="25"/>
      <c r="U4" s="20"/>
      <c r="V4" s="20"/>
      <c r="W4" s="20"/>
    </row>
    <row r="5" spans="1:25" x14ac:dyDescent="0.25">
      <c r="A5" s="20">
        <v>4</v>
      </c>
      <c r="B5" s="36"/>
      <c r="C5" s="80"/>
      <c r="D5" s="18"/>
      <c r="E5" s="29">
        <v>1</v>
      </c>
      <c r="F5" s="98" t="s">
        <v>443</v>
      </c>
      <c r="G5" s="35"/>
      <c r="H5" s="74">
        <v>151</v>
      </c>
      <c r="I5" s="95"/>
      <c r="J5" s="95"/>
      <c r="K5" s="76">
        <v>0</v>
      </c>
      <c r="L5" s="76">
        <v>0</v>
      </c>
      <c r="M5" s="76">
        <v>0</v>
      </c>
      <c r="N5" s="76">
        <v>0</v>
      </c>
      <c r="O5" s="102">
        <f t="shared" si="0"/>
        <v>0</v>
      </c>
      <c r="P5" s="30" t="s">
        <v>421</v>
      </c>
      <c r="Q5" s="31"/>
      <c r="R5" s="32"/>
      <c r="S5" s="32"/>
      <c r="T5" s="25"/>
      <c r="U5" s="20"/>
      <c r="V5" s="20"/>
      <c r="W5" s="20"/>
    </row>
    <row r="6" spans="1:25" x14ac:dyDescent="0.25">
      <c r="A6" s="20">
        <v>5</v>
      </c>
      <c r="B6" s="36">
        <v>46211</v>
      </c>
      <c r="C6" s="80" t="s">
        <v>444</v>
      </c>
      <c r="D6" s="18" t="s">
        <v>441</v>
      </c>
      <c r="E6" s="18">
        <v>1</v>
      </c>
      <c r="F6" s="80" t="s">
        <v>442</v>
      </c>
      <c r="G6" s="30">
        <v>669279</v>
      </c>
      <c r="H6" s="37">
        <v>152</v>
      </c>
      <c r="I6" s="94" t="s">
        <v>13</v>
      </c>
      <c r="J6" s="80" t="s">
        <v>431</v>
      </c>
      <c r="K6" s="16">
        <v>0</v>
      </c>
      <c r="L6" s="16">
        <v>0</v>
      </c>
      <c r="M6" s="16">
        <v>150</v>
      </c>
      <c r="N6" s="16">
        <v>0</v>
      </c>
      <c r="O6" s="17">
        <f t="shared" si="0"/>
        <v>150</v>
      </c>
      <c r="P6" s="30" t="s">
        <v>81</v>
      </c>
      <c r="Q6" s="31"/>
      <c r="R6" s="32"/>
      <c r="S6" s="32"/>
      <c r="T6" s="25" t="s">
        <v>85</v>
      </c>
      <c r="U6" s="20"/>
      <c r="V6" s="20"/>
      <c r="W6" s="20"/>
    </row>
    <row r="7" spans="1:25" x14ac:dyDescent="0.25">
      <c r="A7" s="20">
        <v>6</v>
      </c>
      <c r="B7" s="36">
        <v>46211</v>
      </c>
      <c r="C7" s="80" t="s">
        <v>444</v>
      </c>
      <c r="D7" s="18" t="s">
        <v>445</v>
      </c>
      <c r="E7" s="18">
        <v>1</v>
      </c>
      <c r="F7" s="80" t="s">
        <v>87</v>
      </c>
      <c r="G7" s="30">
        <v>469101</v>
      </c>
      <c r="H7" s="37">
        <v>153</v>
      </c>
      <c r="I7" s="94" t="s">
        <v>424</v>
      </c>
      <c r="J7" s="80" t="s">
        <v>446</v>
      </c>
      <c r="K7" s="16">
        <v>0</v>
      </c>
      <c r="L7" s="16">
        <v>0</v>
      </c>
      <c r="M7" s="16">
        <v>25</v>
      </c>
      <c r="N7" s="16">
        <v>0</v>
      </c>
      <c r="O7" s="17">
        <f t="shared" si="0"/>
        <v>25</v>
      </c>
      <c r="P7" s="30" t="s">
        <v>81</v>
      </c>
      <c r="Q7" s="31"/>
      <c r="R7" s="32"/>
      <c r="S7" s="32"/>
      <c r="T7" s="25"/>
      <c r="U7" s="20"/>
      <c r="V7" s="20"/>
      <c r="W7" s="20"/>
    </row>
    <row r="8" spans="1:25" x14ac:dyDescent="0.25">
      <c r="A8" s="20">
        <v>7</v>
      </c>
      <c r="B8" s="36">
        <v>46212</v>
      </c>
      <c r="C8" s="80" t="s">
        <v>448</v>
      </c>
      <c r="D8" s="30" t="s">
        <v>447</v>
      </c>
      <c r="E8" s="18">
        <v>1</v>
      </c>
      <c r="F8" s="80" t="s">
        <v>89</v>
      </c>
      <c r="G8" s="30">
        <v>5</v>
      </c>
      <c r="H8" s="37">
        <v>765</v>
      </c>
      <c r="I8" s="94" t="s">
        <v>436</v>
      </c>
      <c r="J8" s="80" t="s">
        <v>431</v>
      </c>
      <c r="K8" s="16">
        <f>M8-L8</f>
        <v>3130</v>
      </c>
      <c r="L8" s="16">
        <v>2670</v>
      </c>
      <c r="M8" s="16">
        <v>5800</v>
      </c>
      <c r="N8" s="16">
        <v>3130</v>
      </c>
      <c r="O8" s="17">
        <f>M8-N8</f>
        <v>2670</v>
      </c>
      <c r="P8" s="30" t="s">
        <v>81</v>
      </c>
      <c r="Q8" s="31"/>
      <c r="R8" s="32"/>
      <c r="S8" s="32"/>
      <c r="T8" s="25"/>
      <c r="U8" s="20"/>
      <c r="V8" s="20"/>
      <c r="W8" s="20"/>
    </row>
    <row r="9" spans="1:25" x14ac:dyDescent="0.25">
      <c r="A9" s="20">
        <v>8</v>
      </c>
      <c r="B9" s="36">
        <v>46212</v>
      </c>
      <c r="C9" s="80" t="s">
        <v>82</v>
      </c>
      <c r="D9" s="18" t="s">
        <v>80</v>
      </c>
      <c r="E9" s="18">
        <v>1</v>
      </c>
      <c r="F9" s="80" t="s">
        <v>83</v>
      </c>
      <c r="G9" s="30"/>
      <c r="H9" s="37">
        <v>766</v>
      </c>
      <c r="I9" s="83"/>
      <c r="J9" s="94" t="s">
        <v>432</v>
      </c>
      <c r="K9" s="16">
        <v>0</v>
      </c>
      <c r="L9" s="16">
        <v>0</v>
      </c>
      <c r="M9" s="16">
        <v>0</v>
      </c>
      <c r="N9" s="16">
        <v>0</v>
      </c>
      <c r="O9" s="17">
        <f t="shared" si="0"/>
        <v>0</v>
      </c>
      <c r="P9" s="30" t="s">
        <v>81</v>
      </c>
      <c r="Q9" s="31"/>
      <c r="R9" s="32" t="s">
        <v>94</v>
      </c>
      <c r="S9" s="32"/>
      <c r="T9" s="25"/>
      <c r="U9" s="20"/>
      <c r="V9" s="20"/>
      <c r="W9" s="20"/>
    </row>
    <row r="10" spans="1:25" x14ac:dyDescent="0.25">
      <c r="A10" s="20">
        <v>9</v>
      </c>
      <c r="B10" s="36">
        <v>46212</v>
      </c>
      <c r="C10" s="80" t="s">
        <v>428</v>
      </c>
      <c r="D10" s="30" t="s">
        <v>429</v>
      </c>
      <c r="E10" s="18">
        <v>1</v>
      </c>
      <c r="F10" s="80" t="s">
        <v>88</v>
      </c>
      <c r="G10" s="30">
        <v>307943</v>
      </c>
      <c r="H10" s="37">
        <v>767</v>
      </c>
      <c r="I10" s="94" t="s">
        <v>465</v>
      </c>
      <c r="J10" s="80" t="s">
        <v>431</v>
      </c>
      <c r="K10" s="16">
        <v>154</v>
      </c>
      <c r="L10" s="16">
        <v>50</v>
      </c>
      <c r="M10" s="16">
        <v>204</v>
      </c>
      <c r="N10" s="16">
        <v>100.38</v>
      </c>
      <c r="O10" s="16">
        <f>M10-N10</f>
        <v>103.62</v>
      </c>
      <c r="P10" s="30" t="s">
        <v>81</v>
      </c>
      <c r="Q10" s="16">
        <v>53.53</v>
      </c>
      <c r="R10" s="32"/>
      <c r="S10" s="31"/>
      <c r="T10" s="32"/>
      <c r="U10" s="32"/>
      <c r="V10" s="25"/>
      <c r="W10" s="20"/>
      <c r="X10" s="20"/>
      <c r="Y10" s="20"/>
    </row>
    <row r="11" spans="1:25" x14ac:dyDescent="0.25">
      <c r="A11" s="20">
        <v>10</v>
      </c>
      <c r="B11" s="36">
        <v>46212</v>
      </c>
      <c r="C11" s="80" t="s">
        <v>428</v>
      </c>
      <c r="D11" s="30" t="s">
        <v>86</v>
      </c>
      <c r="E11" s="18">
        <v>1</v>
      </c>
      <c r="F11" s="80" t="s">
        <v>430</v>
      </c>
      <c r="G11" s="30">
        <v>78114</v>
      </c>
      <c r="H11" s="37">
        <v>768</v>
      </c>
      <c r="I11" s="94" t="s">
        <v>466</v>
      </c>
      <c r="J11" s="80" t="s">
        <v>431</v>
      </c>
      <c r="K11" s="40">
        <v>224</v>
      </c>
      <c r="L11" s="40">
        <f>M11-K11</f>
        <v>226</v>
      </c>
      <c r="M11" s="40">
        <v>450</v>
      </c>
      <c r="N11" s="16">
        <v>170.38</v>
      </c>
      <c r="O11" s="16">
        <f>M11-N11</f>
        <v>279.62</v>
      </c>
      <c r="P11" s="30" t="s">
        <v>81</v>
      </c>
      <c r="Q11" s="16">
        <v>53.53</v>
      </c>
      <c r="R11" s="32"/>
      <c r="S11" s="31"/>
      <c r="T11" s="32"/>
      <c r="U11" s="32"/>
      <c r="V11" s="25"/>
      <c r="W11" s="20"/>
      <c r="X11" s="20"/>
      <c r="Y11" s="20"/>
    </row>
    <row r="12" spans="1:25" x14ac:dyDescent="0.25">
      <c r="A12" s="20">
        <v>11</v>
      </c>
      <c r="B12" s="36">
        <v>46214</v>
      </c>
      <c r="C12" s="80" t="s">
        <v>428</v>
      </c>
      <c r="D12" s="18" t="s">
        <v>80</v>
      </c>
      <c r="E12" s="18">
        <v>1</v>
      </c>
      <c r="F12" s="80" t="s">
        <v>88</v>
      </c>
      <c r="G12" s="44">
        <v>288318</v>
      </c>
      <c r="H12" s="30">
        <v>769</v>
      </c>
      <c r="I12" s="94" t="s">
        <v>466</v>
      </c>
      <c r="J12" s="80" t="s">
        <v>431</v>
      </c>
      <c r="K12" s="67">
        <v>241</v>
      </c>
      <c r="L12" s="67">
        <f>M12-K12</f>
        <v>75</v>
      </c>
      <c r="M12" s="16">
        <v>316</v>
      </c>
      <c r="N12" s="16">
        <v>179.72</v>
      </c>
      <c r="O12" s="27">
        <f>M12-N12</f>
        <v>136.28</v>
      </c>
      <c r="P12" s="30" t="s">
        <v>81</v>
      </c>
      <c r="Q12" s="27">
        <v>61.18</v>
      </c>
      <c r="R12" s="32"/>
      <c r="S12" s="66"/>
      <c r="T12" s="25"/>
      <c r="U12" s="25"/>
      <c r="V12" s="25"/>
      <c r="W12" s="20"/>
      <c r="X12" s="20"/>
      <c r="Y12" s="20"/>
    </row>
    <row r="13" spans="1:25" x14ac:dyDescent="0.25">
      <c r="A13" s="20">
        <v>12</v>
      </c>
      <c r="B13" s="36">
        <v>46214</v>
      </c>
      <c r="C13" s="80" t="s">
        <v>437</v>
      </c>
      <c r="D13" s="18" t="s">
        <v>80</v>
      </c>
      <c r="E13" s="18">
        <v>1</v>
      </c>
      <c r="F13" s="80" t="s">
        <v>438</v>
      </c>
      <c r="G13" s="30">
        <v>70131</v>
      </c>
      <c r="H13" s="30">
        <v>770</v>
      </c>
      <c r="I13" s="94" t="s">
        <v>422</v>
      </c>
      <c r="J13" s="94" t="s">
        <v>432</v>
      </c>
      <c r="K13" s="63">
        <v>0</v>
      </c>
      <c r="L13" s="63">
        <v>250</v>
      </c>
      <c r="M13" s="16">
        <v>250</v>
      </c>
      <c r="N13" s="16">
        <v>0</v>
      </c>
      <c r="O13" s="64">
        <f t="shared" ref="O13:O26" si="1">M13-N13</f>
        <v>250</v>
      </c>
      <c r="P13" s="30" t="s">
        <v>81</v>
      </c>
      <c r="Q13" s="64"/>
      <c r="R13" s="32"/>
      <c r="S13" s="66"/>
      <c r="T13" s="25"/>
      <c r="U13" s="25"/>
      <c r="V13" s="25"/>
      <c r="W13" s="20"/>
      <c r="X13" s="20"/>
      <c r="Y13" s="20"/>
    </row>
    <row r="14" spans="1:25" x14ac:dyDescent="0.25">
      <c r="A14" s="20">
        <v>13</v>
      </c>
      <c r="B14" s="36">
        <v>46215</v>
      </c>
      <c r="C14" s="80" t="s">
        <v>456</v>
      </c>
      <c r="D14" s="18" t="s">
        <v>80</v>
      </c>
      <c r="E14" s="18">
        <v>1</v>
      </c>
      <c r="F14" s="80" t="s">
        <v>93</v>
      </c>
      <c r="G14" s="20"/>
      <c r="H14" s="30">
        <v>771</v>
      </c>
      <c r="I14" s="80" t="s">
        <v>467</v>
      </c>
      <c r="J14" s="80"/>
      <c r="K14" s="63">
        <v>150</v>
      </c>
      <c r="L14" s="63">
        <v>50</v>
      </c>
      <c r="M14" s="16">
        <v>250</v>
      </c>
      <c r="N14" s="16">
        <v>150</v>
      </c>
      <c r="O14" s="64">
        <f t="shared" si="1"/>
        <v>100</v>
      </c>
      <c r="P14" s="30" t="s">
        <v>81</v>
      </c>
      <c r="Q14" s="64"/>
      <c r="R14" s="32"/>
      <c r="S14" s="66"/>
      <c r="T14" s="25"/>
      <c r="U14" s="25"/>
      <c r="V14" s="25"/>
      <c r="W14" s="20"/>
      <c r="X14" s="20"/>
      <c r="Y14" s="20"/>
    </row>
    <row r="15" spans="1:25" x14ac:dyDescent="0.25">
      <c r="A15" s="20">
        <v>14</v>
      </c>
      <c r="B15" s="36">
        <v>46215</v>
      </c>
      <c r="C15" s="80" t="s">
        <v>440</v>
      </c>
      <c r="D15" s="18" t="s">
        <v>80</v>
      </c>
      <c r="E15" s="18">
        <v>1</v>
      </c>
      <c r="F15" s="80" t="s">
        <v>439</v>
      </c>
      <c r="G15" s="30">
        <v>318886</v>
      </c>
      <c r="H15" s="30">
        <v>772</v>
      </c>
      <c r="I15" s="94" t="s">
        <v>422</v>
      </c>
      <c r="J15" s="80" t="s">
        <v>432</v>
      </c>
      <c r="K15" s="63">
        <v>0</v>
      </c>
      <c r="L15" s="63">
        <v>100</v>
      </c>
      <c r="M15" s="16">
        <v>100</v>
      </c>
      <c r="N15" s="16">
        <v>0</v>
      </c>
      <c r="O15" s="64">
        <f t="shared" si="1"/>
        <v>100</v>
      </c>
      <c r="P15" s="30" t="s">
        <v>81</v>
      </c>
      <c r="Q15" s="64"/>
      <c r="R15" s="32"/>
      <c r="S15" s="66"/>
      <c r="T15" s="25"/>
      <c r="U15" s="25"/>
      <c r="V15" s="25"/>
      <c r="W15" s="20"/>
      <c r="X15" s="20"/>
      <c r="Y15" s="20"/>
    </row>
    <row r="16" spans="1:25" x14ac:dyDescent="0.25">
      <c r="A16" s="20">
        <v>15</v>
      </c>
      <c r="B16" s="36">
        <v>46216</v>
      </c>
      <c r="C16" s="80" t="s">
        <v>468</v>
      </c>
      <c r="D16" s="30" t="s">
        <v>433</v>
      </c>
      <c r="E16" s="30"/>
      <c r="F16" s="80"/>
      <c r="G16" s="35">
        <v>129150</v>
      </c>
      <c r="H16" s="74">
        <v>155</v>
      </c>
      <c r="I16" s="95" t="s">
        <v>424</v>
      </c>
      <c r="J16" s="98"/>
      <c r="K16" s="75">
        <f>N16</f>
        <v>1285</v>
      </c>
      <c r="L16" s="75">
        <v>500</v>
      </c>
      <c r="M16" s="76">
        <v>1785</v>
      </c>
      <c r="N16" s="76">
        <v>1285</v>
      </c>
      <c r="O16" s="75">
        <f t="shared" si="1"/>
        <v>500</v>
      </c>
      <c r="P16" s="30" t="s">
        <v>421</v>
      </c>
      <c r="Q16" s="64"/>
      <c r="R16" s="32"/>
      <c r="S16" s="66"/>
      <c r="T16" s="25"/>
      <c r="U16" s="25"/>
      <c r="V16" s="25"/>
      <c r="W16" s="20"/>
      <c r="X16" s="20"/>
      <c r="Y16" s="20"/>
    </row>
    <row r="17" spans="1:25" x14ac:dyDescent="0.25">
      <c r="A17" s="20">
        <v>16</v>
      </c>
      <c r="B17" s="36">
        <v>46216</v>
      </c>
      <c r="C17" s="80" t="s">
        <v>450</v>
      </c>
      <c r="D17" s="30" t="s">
        <v>449</v>
      </c>
      <c r="E17" s="30">
        <v>1</v>
      </c>
      <c r="F17" s="80" t="s">
        <v>451</v>
      </c>
      <c r="G17" s="30">
        <v>732950</v>
      </c>
      <c r="H17" s="37">
        <v>156</v>
      </c>
      <c r="I17" s="93" t="s">
        <v>17</v>
      </c>
      <c r="J17" s="80" t="s">
        <v>431</v>
      </c>
      <c r="K17" s="63">
        <f>M17-L17</f>
        <v>780</v>
      </c>
      <c r="L17" s="63">
        <v>465</v>
      </c>
      <c r="M17" s="16">
        <v>1245</v>
      </c>
      <c r="N17" s="16">
        <v>780</v>
      </c>
      <c r="O17" s="64">
        <f t="shared" si="1"/>
        <v>465</v>
      </c>
      <c r="P17" s="30" t="s">
        <v>81</v>
      </c>
      <c r="Q17" s="64"/>
      <c r="R17" s="32"/>
      <c r="S17" s="66"/>
      <c r="T17" s="25"/>
      <c r="U17" s="25"/>
      <c r="V17" s="25"/>
      <c r="W17" s="20"/>
      <c r="X17" s="20"/>
      <c r="Y17" s="20"/>
    </row>
    <row r="18" spans="1:25" x14ac:dyDescent="0.25">
      <c r="A18" s="20">
        <v>17</v>
      </c>
      <c r="B18" s="36">
        <v>46216</v>
      </c>
      <c r="C18" s="80" t="s">
        <v>452</v>
      </c>
      <c r="D18" s="30" t="s">
        <v>453</v>
      </c>
      <c r="E18" s="30"/>
      <c r="F18" s="80" t="s">
        <v>454</v>
      </c>
      <c r="G18" s="30">
        <v>122962</v>
      </c>
      <c r="H18" s="37">
        <v>157</v>
      </c>
      <c r="I18" s="93" t="s">
        <v>17</v>
      </c>
      <c r="J18" s="80" t="s">
        <v>431</v>
      </c>
      <c r="K18" s="63">
        <v>30</v>
      </c>
      <c r="L18" s="63">
        <v>270</v>
      </c>
      <c r="M18" s="16">
        <v>300</v>
      </c>
      <c r="N18" s="16">
        <v>30</v>
      </c>
      <c r="O18" s="64">
        <f t="shared" si="1"/>
        <v>270</v>
      </c>
      <c r="P18" s="30" t="s">
        <v>420</v>
      </c>
      <c r="Q18" s="64"/>
      <c r="R18" s="32"/>
      <c r="S18" s="66"/>
      <c r="T18" s="25"/>
      <c r="U18" s="25"/>
      <c r="V18" s="25"/>
      <c r="W18" s="20"/>
      <c r="X18" s="20"/>
      <c r="Y18" s="20"/>
    </row>
    <row r="19" spans="1:25" x14ac:dyDescent="0.25">
      <c r="A19" s="20">
        <v>18</v>
      </c>
      <c r="B19" s="36">
        <v>46217</v>
      </c>
      <c r="C19" s="80" t="s">
        <v>455</v>
      </c>
      <c r="D19" s="30"/>
      <c r="E19" s="30">
        <v>1</v>
      </c>
      <c r="F19" s="80" t="s">
        <v>479</v>
      </c>
      <c r="G19" s="30">
        <v>341436</v>
      </c>
      <c r="H19" s="37">
        <v>158</v>
      </c>
      <c r="I19" s="94" t="s">
        <v>424</v>
      </c>
      <c r="J19" s="80" t="s">
        <v>431</v>
      </c>
      <c r="K19" s="63">
        <v>0</v>
      </c>
      <c r="L19" s="63">
        <v>25</v>
      </c>
      <c r="M19" s="16">
        <v>25</v>
      </c>
      <c r="N19" s="16">
        <v>0</v>
      </c>
      <c r="O19" s="64">
        <f t="shared" si="1"/>
        <v>25</v>
      </c>
      <c r="P19" s="30" t="s">
        <v>420</v>
      </c>
      <c r="Q19" s="64"/>
      <c r="R19" s="32"/>
      <c r="S19" s="66"/>
      <c r="T19" s="25"/>
      <c r="U19" s="25"/>
      <c r="V19" s="25"/>
      <c r="W19" s="20"/>
      <c r="X19" s="20"/>
      <c r="Y19" s="20"/>
    </row>
    <row r="20" spans="1:25" x14ac:dyDescent="0.25">
      <c r="A20" s="20">
        <v>19</v>
      </c>
      <c r="B20" s="36">
        <v>46217</v>
      </c>
      <c r="C20" s="80" t="s">
        <v>456</v>
      </c>
      <c r="D20" s="18" t="s">
        <v>80</v>
      </c>
      <c r="E20" s="18">
        <v>1</v>
      </c>
      <c r="F20" s="80" t="s">
        <v>91</v>
      </c>
      <c r="G20" s="30">
        <v>239624</v>
      </c>
      <c r="H20" s="37">
        <v>773</v>
      </c>
      <c r="I20" s="80" t="s">
        <v>467</v>
      </c>
      <c r="J20" s="94" t="s">
        <v>432</v>
      </c>
      <c r="K20" s="63">
        <v>50</v>
      </c>
      <c r="L20" s="63">
        <v>430</v>
      </c>
      <c r="M20" s="16">
        <v>480</v>
      </c>
      <c r="N20" s="16">
        <v>50</v>
      </c>
      <c r="O20" s="64">
        <f t="shared" si="1"/>
        <v>430</v>
      </c>
      <c r="P20" s="30" t="s">
        <v>81</v>
      </c>
      <c r="Q20" s="64"/>
      <c r="R20" s="32"/>
      <c r="S20" s="66"/>
      <c r="T20" s="25"/>
      <c r="U20" s="25"/>
      <c r="V20" s="25"/>
      <c r="W20" s="20"/>
      <c r="X20" s="20"/>
      <c r="Y20" s="20"/>
    </row>
    <row r="21" spans="1:25" x14ac:dyDescent="0.25">
      <c r="A21" s="20">
        <v>20</v>
      </c>
      <c r="B21" s="70">
        <v>46217</v>
      </c>
      <c r="C21" s="80" t="s">
        <v>437</v>
      </c>
      <c r="D21" s="18" t="s">
        <v>80</v>
      </c>
      <c r="E21" s="18">
        <v>1</v>
      </c>
      <c r="F21" s="80" t="s">
        <v>83</v>
      </c>
      <c r="G21" s="30">
        <v>305163</v>
      </c>
      <c r="H21" s="37">
        <v>774</v>
      </c>
      <c r="I21" s="94" t="s">
        <v>422</v>
      </c>
      <c r="J21" s="94" t="s">
        <v>432</v>
      </c>
      <c r="K21" s="63">
        <v>0</v>
      </c>
      <c r="L21" s="63">
        <v>250</v>
      </c>
      <c r="M21" s="16">
        <v>250</v>
      </c>
      <c r="N21" s="16">
        <v>0</v>
      </c>
      <c r="O21" s="64">
        <f t="shared" si="1"/>
        <v>250</v>
      </c>
      <c r="P21" s="30" t="s">
        <v>81</v>
      </c>
      <c r="Q21" s="64"/>
      <c r="R21" s="32"/>
      <c r="S21" s="66"/>
      <c r="T21" s="25"/>
      <c r="U21" s="25"/>
      <c r="V21" s="25"/>
      <c r="W21" s="20"/>
      <c r="X21" s="20"/>
      <c r="Y21" s="20"/>
    </row>
    <row r="22" spans="1:25" x14ac:dyDescent="0.25">
      <c r="A22" s="20">
        <v>21</v>
      </c>
      <c r="B22" s="70">
        <v>46217</v>
      </c>
      <c r="C22" s="80" t="s">
        <v>456</v>
      </c>
      <c r="D22" s="30" t="s">
        <v>84</v>
      </c>
      <c r="E22" s="30">
        <v>1</v>
      </c>
      <c r="F22" s="80" t="s">
        <v>457</v>
      </c>
      <c r="G22" s="30">
        <v>77412</v>
      </c>
      <c r="H22" s="37">
        <v>775</v>
      </c>
      <c r="I22" s="94" t="s">
        <v>11</v>
      </c>
      <c r="J22" s="80" t="s">
        <v>431</v>
      </c>
      <c r="K22" s="63">
        <v>0</v>
      </c>
      <c r="L22" s="63">
        <v>50</v>
      </c>
      <c r="M22" s="16">
        <v>50</v>
      </c>
      <c r="N22" s="16">
        <v>0</v>
      </c>
      <c r="O22" s="64">
        <f t="shared" si="1"/>
        <v>50</v>
      </c>
      <c r="P22" s="30" t="s">
        <v>81</v>
      </c>
      <c r="Q22" s="64"/>
      <c r="R22" s="32"/>
      <c r="S22" s="66"/>
      <c r="T22" s="25"/>
      <c r="U22" s="25"/>
      <c r="V22" s="25"/>
      <c r="W22" s="20"/>
      <c r="X22" s="20"/>
      <c r="Y22" s="20"/>
    </row>
    <row r="23" spans="1:25" x14ac:dyDescent="0.25">
      <c r="A23" s="20">
        <v>22</v>
      </c>
      <c r="B23" s="71">
        <v>46218</v>
      </c>
      <c r="C23" s="80" t="s">
        <v>448</v>
      </c>
      <c r="D23" s="18" t="s">
        <v>80</v>
      </c>
      <c r="E23" s="18">
        <v>1</v>
      </c>
      <c r="F23" s="81" t="s">
        <v>87</v>
      </c>
      <c r="G23" s="65">
        <v>206640</v>
      </c>
      <c r="H23" s="72">
        <v>776</v>
      </c>
      <c r="I23" s="96" t="s">
        <v>436</v>
      </c>
      <c r="J23" s="80" t="s">
        <v>446</v>
      </c>
      <c r="K23" s="63">
        <v>0</v>
      </c>
      <c r="L23" s="63">
        <v>150</v>
      </c>
      <c r="M23" s="63">
        <v>150</v>
      </c>
      <c r="N23" s="64">
        <v>0</v>
      </c>
      <c r="O23" s="64">
        <f t="shared" si="1"/>
        <v>150</v>
      </c>
      <c r="P23" s="30" t="s">
        <v>81</v>
      </c>
      <c r="Q23" s="64"/>
      <c r="R23" s="25"/>
      <c r="S23" s="66"/>
      <c r="T23" s="25"/>
      <c r="U23" s="25"/>
      <c r="V23" s="25"/>
      <c r="W23" s="20"/>
      <c r="X23" s="20"/>
      <c r="Y23" s="20"/>
    </row>
    <row r="24" spans="1:25" x14ac:dyDescent="0.25">
      <c r="A24" s="20">
        <v>23</v>
      </c>
      <c r="B24" s="71">
        <v>46218</v>
      </c>
      <c r="C24" s="81" t="s">
        <v>469</v>
      </c>
      <c r="D24" s="18" t="s">
        <v>80</v>
      </c>
      <c r="E24" s="18">
        <v>1</v>
      </c>
      <c r="F24" s="81" t="s">
        <v>92</v>
      </c>
      <c r="G24" s="65">
        <v>51665</v>
      </c>
      <c r="H24" s="72">
        <v>777</v>
      </c>
      <c r="I24" s="96" t="s">
        <v>422</v>
      </c>
      <c r="J24" s="81" t="s">
        <v>432</v>
      </c>
      <c r="K24" s="63">
        <v>0</v>
      </c>
      <c r="L24" s="63">
        <v>100</v>
      </c>
      <c r="M24" s="63">
        <v>100</v>
      </c>
      <c r="N24" s="64">
        <v>0</v>
      </c>
      <c r="O24" s="64">
        <f t="shared" si="1"/>
        <v>100</v>
      </c>
      <c r="P24" s="30" t="s">
        <v>81</v>
      </c>
      <c r="Q24" s="64"/>
      <c r="R24" s="65"/>
      <c r="S24" s="66"/>
      <c r="T24" s="25"/>
      <c r="U24" s="25"/>
      <c r="V24" s="25"/>
      <c r="W24" s="20"/>
      <c r="X24" s="20"/>
      <c r="Y24" s="20"/>
    </row>
    <row r="25" spans="1:25" x14ac:dyDescent="0.25">
      <c r="A25" s="20">
        <v>24</v>
      </c>
      <c r="B25" s="71">
        <v>46218</v>
      </c>
      <c r="C25" s="80" t="s">
        <v>456</v>
      </c>
      <c r="D25" s="65" t="s">
        <v>470</v>
      </c>
      <c r="E25" s="65">
        <v>1</v>
      </c>
      <c r="F25" s="81" t="s">
        <v>471</v>
      </c>
      <c r="G25" s="65">
        <v>75066</v>
      </c>
      <c r="H25" s="72">
        <v>159</v>
      </c>
      <c r="I25" s="96" t="s">
        <v>11</v>
      </c>
      <c r="J25" s="81" t="s">
        <v>431</v>
      </c>
      <c r="K25" s="63">
        <v>0</v>
      </c>
      <c r="L25" s="63">
        <v>120</v>
      </c>
      <c r="M25" s="63">
        <v>120</v>
      </c>
      <c r="N25" s="64">
        <v>0</v>
      </c>
      <c r="O25" s="64">
        <f t="shared" si="1"/>
        <v>120</v>
      </c>
      <c r="P25" s="30" t="s">
        <v>81</v>
      </c>
      <c r="Q25" s="64"/>
      <c r="R25" s="65"/>
      <c r="S25" s="66"/>
      <c r="T25" s="25"/>
      <c r="U25" s="25"/>
      <c r="V25" s="25"/>
      <c r="W25" s="20"/>
      <c r="X25" s="20"/>
      <c r="Y25" s="20"/>
    </row>
    <row r="26" spans="1:25" x14ac:dyDescent="0.25">
      <c r="A26" s="20">
        <v>25</v>
      </c>
      <c r="B26" s="71">
        <v>46219</v>
      </c>
      <c r="C26" s="80" t="s">
        <v>444</v>
      </c>
      <c r="D26" s="65" t="s">
        <v>472</v>
      </c>
      <c r="E26" s="65">
        <v>1</v>
      </c>
      <c r="F26" s="81" t="s">
        <v>473</v>
      </c>
      <c r="G26" s="65">
        <v>303840</v>
      </c>
      <c r="H26" s="72">
        <v>160</v>
      </c>
      <c r="I26" s="96" t="s">
        <v>13</v>
      </c>
      <c r="J26" s="81" t="s">
        <v>431</v>
      </c>
      <c r="K26" s="63">
        <v>170</v>
      </c>
      <c r="L26" s="63">
        <v>150</v>
      </c>
      <c r="M26" s="63">
        <v>320</v>
      </c>
      <c r="N26" s="64">
        <v>170</v>
      </c>
      <c r="O26" s="64">
        <f t="shared" si="1"/>
        <v>150</v>
      </c>
      <c r="P26" s="30" t="s">
        <v>81</v>
      </c>
      <c r="Q26" s="64"/>
      <c r="R26" s="65"/>
      <c r="S26" s="66"/>
      <c r="T26" s="25"/>
      <c r="U26" s="25"/>
      <c r="V26" s="25"/>
      <c r="W26" s="20"/>
      <c r="X26" s="20"/>
      <c r="Y26" s="20"/>
    </row>
    <row r="27" spans="1:25" x14ac:dyDescent="0.25">
      <c r="A27" s="20">
        <v>26</v>
      </c>
      <c r="B27" s="71">
        <v>46219</v>
      </c>
      <c r="C27" s="80" t="s">
        <v>444</v>
      </c>
      <c r="D27" s="65" t="s">
        <v>472</v>
      </c>
      <c r="E27" s="65">
        <v>1</v>
      </c>
      <c r="F27" s="81" t="s">
        <v>87</v>
      </c>
      <c r="G27" s="65">
        <v>281044</v>
      </c>
      <c r="H27" s="72">
        <v>161</v>
      </c>
      <c r="I27" s="96" t="s">
        <v>13</v>
      </c>
      <c r="J27" s="81" t="s">
        <v>431</v>
      </c>
      <c r="K27" s="64">
        <v>0</v>
      </c>
      <c r="L27" s="64">
        <v>250</v>
      </c>
      <c r="M27" s="64">
        <v>250</v>
      </c>
      <c r="N27" s="64">
        <v>0</v>
      </c>
      <c r="O27" s="64">
        <v>250</v>
      </c>
      <c r="P27" s="30" t="s">
        <v>81</v>
      </c>
      <c r="Q27" s="64"/>
      <c r="R27" s="65"/>
      <c r="S27" s="66"/>
      <c r="T27" s="25"/>
      <c r="U27" s="25"/>
      <c r="V27" s="25"/>
      <c r="W27" s="20"/>
      <c r="X27" s="20"/>
      <c r="Y27" s="20"/>
    </row>
    <row r="28" spans="1:25" x14ac:dyDescent="0.25">
      <c r="A28" s="20">
        <v>27</v>
      </c>
      <c r="B28" s="71">
        <v>46220</v>
      </c>
      <c r="C28" s="81" t="s">
        <v>469</v>
      </c>
      <c r="D28" s="18" t="s">
        <v>80</v>
      </c>
      <c r="E28" s="18">
        <v>1</v>
      </c>
      <c r="F28" s="81" t="s">
        <v>474</v>
      </c>
      <c r="G28" s="65">
        <v>314039</v>
      </c>
      <c r="H28" s="72">
        <v>778</v>
      </c>
      <c r="I28" s="96" t="s">
        <v>422</v>
      </c>
      <c r="J28" s="81" t="s">
        <v>432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30" t="s">
        <v>81</v>
      </c>
      <c r="Q28" s="64"/>
      <c r="R28" s="65"/>
      <c r="S28" s="66"/>
      <c r="T28" s="25"/>
      <c r="U28" s="25"/>
      <c r="V28" s="25"/>
      <c r="W28" s="20"/>
      <c r="X28" s="20"/>
      <c r="Y28" s="20"/>
    </row>
    <row r="29" spans="1:25" x14ac:dyDescent="0.25">
      <c r="A29" s="20">
        <v>28</v>
      </c>
      <c r="B29" s="71">
        <v>46220</v>
      </c>
      <c r="C29" s="81" t="s">
        <v>469</v>
      </c>
      <c r="D29" s="18" t="s">
        <v>80</v>
      </c>
      <c r="E29" s="18">
        <v>1</v>
      </c>
      <c r="F29" s="81" t="s">
        <v>92</v>
      </c>
      <c r="G29" s="65">
        <v>148652</v>
      </c>
      <c r="H29" s="72">
        <v>779</v>
      </c>
      <c r="I29" s="96" t="s">
        <v>422</v>
      </c>
      <c r="J29" s="81" t="s">
        <v>432</v>
      </c>
      <c r="K29" s="63">
        <v>0</v>
      </c>
      <c r="L29" s="63">
        <v>0</v>
      </c>
      <c r="M29" s="63">
        <v>0</v>
      </c>
      <c r="N29" s="64">
        <v>0</v>
      </c>
      <c r="O29" s="64">
        <v>0</v>
      </c>
      <c r="P29" s="30" t="s">
        <v>81</v>
      </c>
      <c r="Q29" s="64"/>
      <c r="R29" s="65"/>
      <c r="S29" s="66"/>
      <c r="T29" s="25"/>
      <c r="U29" s="25"/>
      <c r="V29" s="25"/>
      <c r="W29" s="20"/>
      <c r="X29" s="20"/>
      <c r="Y29" s="20"/>
    </row>
    <row r="30" spans="1:25" x14ac:dyDescent="0.25">
      <c r="A30" s="20">
        <v>29</v>
      </c>
      <c r="B30" s="71">
        <v>46221</v>
      </c>
      <c r="C30" s="81" t="s">
        <v>469</v>
      </c>
      <c r="D30" s="18" t="s">
        <v>80</v>
      </c>
      <c r="E30" s="18">
        <v>1</v>
      </c>
      <c r="F30" s="81" t="s">
        <v>475</v>
      </c>
      <c r="G30" s="65">
        <v>62899</v>
      </c>
      <c r="H30" s="72">
        <v>780</v>
      </c>
      <c r="I30" s="97" t="s">
        <v>436</v>
      </c>
      <c r="J30" s="99" t="s">
        <v>432</v>
      </c>
      <c r="K30" s="63">
        <v>0</v>
      </c>
      <c r="L30" s="63">
        <v>0</v>
      </c>
      <c r="M30" s="63">
        <v>0</v>
      </c>
      <c r="N30" s="64">
        <v>0</v>
      </c>
      <c r="O30" s="64">
        <v>0</v>
      </c>
      <c r="P30" s="30" t="s">
        <v>81</v>
      </c>
      <c r="Q30" s="64"/>
      <c r="R30" s="65"/>
      <c r="S30" s="66"/>
      <c r="T30" s="25"/>
      <c r="U30" s="25"/>
      <c r="V30" s="25"/>
      <c r="W30" s="20"/>
      <c r="X30" s="20"/>
      <c r="Y30" s="20"/>
    </row>
    <row r="31" spans="1:25" x14ac:dyDescent="0.25">
      <c r="A31" s="20">
        <v>30</v>
      </c>
      <c r="B31" s="71">
        <v>46221</v>
      </c>
      <c r="C31" s="80" t="s">
        <v>448</v>
      </c>
      <c r="D31" s="18" t="s">
        <v>80</v>
      </c>
      <c r="E31" s="18">
        <v>1</v>
      </c>
      <c r="F31" s="81" t="s">
        <v>87</v>
      </c>
      <c r="G31" s="65">
        <v>156341</v>
      </c>
      <c r="H31" s="72">
        <v>781</v>
      </c>
      <c r="I31" s="97" t="s">
        <v>436</v>
      </c>
      <c r="J31" s="99" t="s">
        <v>446</v>
      </c>
      <c r="K31" s="63">
        <v>0</v>
      </c>
      <c r="L31" s="63">
        <v>400</v>
      </c>
      <c r="M31" s="63">
        <v>400</v>
      </c>
      <c r="N31" s="64">
        <v>0</v>
      </c>
      <c r="O31" s="64">
        <v>400</v>
      </c>
      <c r="P31" s="30" t="s">
        <v>81</v>
      </c>
      <c r="Q31" s="64"/>
      <c r="R31" s="65"/>
      <c r="S31" s="66"/>
      <c r="T31" s="25"/>
      <c r="U31" s="25"/>
      <c r="V31" s="25"/>
      <c r="W31" s="20"/>
      <c r="X31" s="20"/>
      <c r="Y31" s="20"/>
    </row>
    <row r="32" spans="1:25" x14ac:dyDescent="0.25">
      <c r="A32" s="20">
        <v>31</v>
      </c>
      <c r="B32" s="71">
        <v>46221</v>
      </c>
      <c r="C32" s="80" t="s">
        <v>448</v>
      </c>
      <c r="D32" s="18" t="s">
        <v>80</v>
      </c>
      <c r="E32" s="18">
        <v>1</v>
      </c>
      <c r="F32" s="81" t="s">
        <v>87</v>
      </c>
      <c r="G32" s="65">
        <v>338210</v>
      </c>
      <c r="H32" s="72">
        <v>782</v>
      </c>
      <c r="I32" s="97" t="s">
        <v>436</v>
      </c>
      <c r="J32" s="99" t="s">
        <v>446</v>
      </c>
      <c r="K32" s="63">
        <v>352</v>
      </c>
      <c r="L32" s="63">
        <v>50</v>
      </c>
      <c r="M32" s="63">
        <v>402</v>
      </c>
      <c r="N32" s="64">
        <v>234.78</v>
      </c>
      <c r="O32" s="64">
        <f>M32-N32</f>
        <v>167.22</v>
      </c>
      <c r="P32" s="30" t="s">
        <v>81</v>
      </c>
      <c r="Q32" s="64">
        <v>117.22</v>
      </c>
      <c r="R32" s="65"/>
      <c r="S32" s="66"/>
      <c r="T32" s="25"/>
      <c r="U32" s="25"/>
      <c r="V32" s="25"/>
      <c r="W32" s="20"/>
      <c r="X32" s="20"/>
      <c r="Y32" s="20"/>
    </row>
    <row r="33" spans="1:25" x14ac:dyDescent="0.25">
      <c r="A33" s="20">
        <v>32</v>
      </c>
      <c r="B33" s="73">
        <v>45857</v>
      </c>
      <c r="C33" s="80" t="s">
        <v>448</v>
      </c>
      <c r="D33" s="61" t="s">
        <v>86</v>
      </c>
      <c r="E33" s="18">
        <v>1</v>
      </c>
      <c r="F33" s="81" t="s">
        <v>476</v>
      </c>
      <c r="G33" s="65">
        <v>77332</v>
      </c>
      <c r="H33" s="72">
        <v>783</v>
      </c>
      <c r="I33" s="97" t="s">
        <v>436</v>
      </c>
      <c r="J33" s="99" t="s">
        <v>446</v>
      </c>
      <c r="K33" s="63"/>
      <c r="L33" s="63">
        <v>600</v>
      </c>
      <c r="M33" s="63">
        <v>600</v>
      </c>
      <c r="N33" s="64"/>
      <c r="O33" s="64">
        <v>600</v>
      </c>
      <c r="P33" s="30" t="s">
        <v>81</v>
      </c>
      <c r="Q33" s="64"/>
      <c r="R33" s="65"/>
      <c r="S33" s="66"/>
      <c r="T33" s="25"/>
      <c r="U33" s="25"/>
      <c r="V33" s="25"/>
      <c r="W33" s="20"/>
      <c r="X33" s="20"/>
      <c r="Y33" s="20"/>
    </row>
    <row r="34" spans="1:25" x14ac:dyDescent="0.25">
      <c r="A34" s="20">
        <v>33</v>
      </c>
      <c r="B34" s="73">
        <v>45857</v>
      </c>
      <c r="C34" s="80" t="s">
        <v>448</v>
      </c>
      <c r="D34" s="61" t="s">
        <v>86</v>
      </c>
      <c r="E34" s="18">
        <v>1</v>
      </c>
      <c r="F34" s="81" t="s">
        <v>477</v>
      </c>
      <c r="G34" s="65">
        <v>77922</v>
      </c>
      <c r="H34" s="72">
        <v>784</v>
      </c>
      <c r="I34" s="97" t="s">
        <v>436</v>
      </c>
      <c r="J34" s="99" t="s">
        <v>446</v>
      </c>
      <c r="K34" s="63">
        <v>176</v>
      </c>
      <c r="L34" s="63">
        <v>50</v>
      </c>
      <c r="M34" s="63">
        <v>226</v>
      </c>
      <c r="N34" s="64">
        <v>117.39</v>
      </c>
      <c r="O34" s="64">
        <f>M34-N34</f>
        <v>108.61</v>
      </c>
      <c r="P34" s="30" t="s">
        <v>81</v>
      </c>
      <c r="Q34" s="64">
        <v>58.61</v>
      </c>
      <c r="R34" s="65"/>
      <c r="S34" s="66"/>
      <c r="T34" s="25"/>
      <c r="U34" s="25"/>
      <c r="V34" s="25"/>
      <c r="W34" s="20"/>
      <c r="X34" s="20"/>
      <c r="Y34" s="20"/>
    </row>
    <row r="35" spans="1:25" x14ac:dyDescent="0.25">
      <c r="A35" s="20">
        <v>34</v>
      </c>
      <c r="B35" s="71">
        <v>45857</v>
      </c>
      <c r="C35" s="80" t="s">
        <v>444</v>
      </c>
      <c r="D35" s="18" t="s">
        <v>433</v>
      </c>
      <c r="E35" s="18">
        <v>1</v>
      </c>
      <c r="F35" s="81" t="s">
        <v>87</v>
      </c>
      <c r="G35" s="65">
        <v>155826</v>
      </c>
      <c r="H35" s="72">
        <v>162</v>
      </c>
      <c r="I35" s="103" t="s">
        <v>424</v>
      </c>
      <c r="J35" s="81" t="s">
        <v>446</v>
      </c>
      <c r="K35" s="63">
        <v>77</v>
      </c>
      <c r="L35" s="63">
        <v>25</v>
      </c>
      <c r="M35" s="63">
        <f>K35+L35</f>
        <v>102</v>
      </c>
      <c r="N35" s="64">
        <v>51.36</v>
      </c>
      <c r="O35" s="64">
        <v>50.64</v>
      </c>
      <c r="P35" s="30" t="s">
        <v>81</v>
      </c>
      <c r="Q35" s="64">
        <v>25.64</v>
      </c>
      <c r="R35" s="65"/>
      <c r="S35" s="66"/>
      <c r="T35" s="25"/>
      <c r="U35" s="25"/>
      <c r="V35" s="25"/>
      <c r="W35" s="20"/>
      <c r="X35" s="20"/>
      <c r="Y35" s="20"/>
    </row>
    <row r="36" spans="1:25" x14ac:dyDescent="0.25">
      <c r="A36" s="20">
        <v>35</v>
      </c>
      <c r="B36" s="71">
        <v>46221</v>
      </c>
      <c r="C36" s="80" t="s">
        <v>444</v>
      </c>
      <c r="D36" s="18" t="s">
        <v>478</v>
      </c>
      <c r="E36" s="18">
        <v>1</v>
      </c>
      <c r="F36" s="81" t="s">
        <v>87</v>
      </c>
      <c r="G36" s="65">
        <v>925278</v>
      </c>
      <c r="H36" s="72">
        <v>163</v>
      </c>
      <c r="I36" s="103" t="s">
        <v>13</v>
      </c>
      <c r="J36" s="81" t="s">
        <v>432</v>
      </c>
      <c r="K36" s="63">
        <v>0</v>
      </c>
      <c r="L36" s="63">
        <v>25</v>
      </c>
      <c r="M36" s="63">
        <v>25</v>
      </c>
      <c r="N36" s="64">
        <v>0</v>
      </c>
      <c r="O36" s="64">
        <v>25</v>
      </c>
      <c r="P36" s="30" t="s">
        <v>81</v>
      </c>
      <c r="Q36" s="64">
        <v>0</v>
      </c>
      <c r="R36" s="65"/>
      <c r="S36" s="66"/>
      <c r="T36" s="25"/>
      <c r="U36" s="25"/>
      <c r="V36" s="25"/>
      <c r="W36" s="20"/>
      <c r="X36" s="20"/>
      <c r="Y36" s="20"/>
    </row>
    <row r="37" spans="1:25" x14ac:dyDescent="0.25">
      <c r="A37" s="20">
        <v>36</v>
      </c>
      <c r="B37" s="71">
        <v>46222</v>
      </c>
      <c r="C37" s="80" t="s">
        <v>448</v>
      </c>
      <c r="D37" s="18" t="s">
        <v>80</v>
      </c>
      <c r="E37" s="18">
        <v>1</v>
      </c>
      <c r="F37" s="81" t="s">
        <v>87</v>
      </c>
      <c r="G37" s="65">
        <v>304451</v>
      </c>
      <c r="H37" s="72">
        <v>785</v>
      </c>
      <c r="I37" s="103" t="s">
        <v>436</v>
      </c>
      <c r="J37" s="81" t="s">
        <v>446</v>
      </c>
      <c r="K37" s="63">
        <v>110</v>
      </c>
      <c r="L37" s="63">
        <v>0</v>
      </c>
      <c r="M37" s="63">
        <v>110</v>
      </c>
      <c r="N37" s="64">
        <v>73.37</v>
      </c>
      <c r="O37" s="64">
        <v>36.630000000000003</v>
      </c>
      <c r="P37" s="30" t="s">
        <v>81</v>
      </c>
      <c r="Q37" s="64">
        <v>36.630000000000003</v>
      </c>
      <c r="R37" s="65"/>
      <c r="S37" s="66"/>
      <c r="T37" s="25"/>
      <c r="U37" s="25"/>
      <c r="V37" s="25"/>
      <c r="W37" s="20"/>
      <c r="X37" s="20"/>
      <c r="Y37" s="20"/>
    </row>
    <row r="38" spans="1:25" x14ac:dyDescent="0.25">
      <c r="A38" s="20">
        <v>37</v>
      </c>
      <c r="B38" s="71">
        <v>46224</v>
      </c>
      <c r="C38" s="80" t="s">
        <v>444</v>
      </c>
      <c r="D38" s="18" t="s">
        <v>472</v>
      </c>
      <c r="E38" s="18">
        <v>1</v>
      </c>
      <c r="F38" s="86" t="s">
        <v>485</v>
      </c>
      <c r="G38" s="65">
        <v>640998</v>
      </c>
      <c r="H38" s="72">
        <v>164</v>
      </c>
      <c r="I38" s="103" t="s">
        <v>11</v>
      </c>
      <c r="J38" s="81" t="s">
        <v>431</v>
      </c>
      <c r="K38" s="63">
        <v>60</v>
      </c>
      <c r="L38" s="63"/>
      <c r="M38" s="63">
        <v>60</v>
      </c>
      <c r="N38" s="64">
        <v>60</v>
      </c>
      <c r="O38" s="64">
        <v>0</v>
      </c>
      <c r="P38" s="30" t="s">
        <v>81</v>
      </c>
      <c r="Q38" s="64"/>
      <c r="R38" s="65"/>
      <c r="S38" s="66"/>
      <c r="T38" s="25"/>
      <c r="U38" s="25"/>
      <c r="V38" s="25"/>
      <c r="W38" s="20"/>
      <c r="X38" s="20"/>
      <c r="Y38" s="20"/>
    </row>
    <row r="39" spans="1:25" x14ac:dyDescent="0.25">
      <c r="A39" s="20">
        <v>38</v>
      </c>
      <c r="B39" s="71">
        <v>46225</v>
      </c>
      <c r="C39" s="80" t="s">
        <v>437</v>
      </c>
      <c r="D39" s="18" t="s">
        <v>80</v>
      </c>
      <c r="E39" s="18">
        <v>1</v>
      </c>
      <c r="F39" s="86" t="s">
        <v>87</v>
      </c>
      <c r="G39" s="65">
        <v>248250</v>
      </c>
      <c r="H39" s="72">
        <v>786</v>
      </c>
      <c r="I39" s="96" t="s">
        <v>422</v>
      </c>
      <c r="J39" s="81" t="s">
        <v>446</v>
      </c>
      <c r="K39" s="63">
        <v>0</v>
      </c>
      <c r="L39" s="63">
        <v>250</v>
      </c>
      <c r="M39" s="63">
        <v>250</v>
      </c>
      <c r="N39" s="64">
        <v>0</v>
      </c>
      <c r="O39" s="64">
        <v>250</v>
      </c>
      <c r="P39" s="30" t="s">
        <v>81</v>
      </c>
      <c r="Q39" s="64">
        <v>0</v>
      </c>
      <c r="R39" s="65"/>
      <c r="S39" s="66"/>
      <c r="T39" s="25"/>
      <c r="U39" s="25"/>
      <c r="V39" s="25"/>
      <c r="W39" s="20"/>
      <c r="X39" s="20"/>
      <c r="Y39" s="20"/>
    </row>
    <row r="40" spans="1:25" x14ac:dyDescent="0.25">
      <c r="A40" s="20">
        <v>39</v>
      </c>
      <c r="B40" s="71">
        <v>46225</v>
      </c>
      <c r="C40" s="80" t="s">
        <v>448</v>
      </c>
      <c r="D40" s="18" t="s">
        <v>80</v>
      </c>
      <c r="E40" s="18">
        <v>1</v>
      </c>
      <c r="F40" s="86" t="s">
        <v>87</v>
      </c>
      <c r="G40" s="65">
        <v>116743</v>
      </c>
      <c r="H40" s="72">
        <v>787</v>
      </c>
      <c r="I40" s="96" t="s">
        <v>436</v>
      </c>
      <c r="J40" s="81" t="s">
        <v>446</v>
      </c>
      <c r="K40" s="63">
        <v>452</v>
      </c>
      <c r="L40" s="63">
        <v>50</v>
      </c>
      <c r="M40" s="63">
        <v>502</v>
      </c>
      <c r="N40" s="64">
        <v>334.78</v>
      </c>
      <c r="O40" s="64">
        <v>167.22</v>
      </c>
      <c r="P40" s="30" t="s">
        <v>81</v>
      </c>
      <c r="Q40" s="64">
        <v>117.22</v>
      </c>
      <c r="R40" s="65"/>
      <c r="S40" s="66"/>
      <c r="T40" s="25"/>
      <c r="U40" s="25"/>
      <c r="V40" s="25"/>
      <c r="W40" s="20"/>
      <c r="X40" s="20"/>
      <c r="Y40" s="20"/>
    </row>
    <row r="41" spans="1:25" x14ac:dyDescent="0.25">
      <c r="A41" s="20">
        <v>40</v>
      </c>
      <c r="B41" s="71">
        <v>46225</v>
      </c>
      <c r="C41" s="80" t="s">
        <v>448</v>
      </c>
      <c r="D41" s="18" t="s">
        <v>80</v>
      </c>
      <c r="E41" s="18">
        <v>1</v>
      </c>
      <c r="F41" s="86" t="s">
        <v>87</v>
      </c>
      <c r="G41" s="65">
        <v>206640</v>
      </c>
      <c r="H41" s="72">
        <v>788</v>
      </c>
      <c r="I41" s="96" t="s">
        <v>436</v>
      </c>
      <c r="J41" s="81" t="s">
        <v>446</v>
      </c>
      <c r="K41" s="63">
        <v>28</v>
      </c>
      <c r="L41" s="63">
        <v>60</v>
      </c>
      <c r="M41" s="63">
        <v>88</v>
      </c>
      <c r="N41" s="64">
        <v>20.76</v>
      </c>
      <c r="O41" s="64">
        <v>67.239999999999995</v>
      </c>
      <c r="P41" s="30" t="s">
        <v>81</v>
      </c>
      <c r="Q41" s="64">
        <v>7.24</v>
      </c>
      <c r="R41" s="65"/>
      <c r="S41" s="66"/>
      <c r="T41" s="25"/>
      <c r="U41" s="25"/>
      <c r="V41" s="25"/>
      <c r="W41" s="20"/>
      <c r="X41" s="20"/>
      <c r="Y41" s="20"/>
    </row>
    <row r="42" spans="1:25" x14ac:dyDescent="0.25">
      <c r="A42" s="20">
        <v>41</v>
      </c>
      <c r="B42" s="71">
        <v>46225</v>
      </c>
      <c r="C42" s="80" t="s">
        <v>480</v>
      </c>
      <c r="D42" s="18" t="s">
        <v>481</v>
      </c>
      <c r="E42" s="18">
        <v>1</v>
      </c>
      <c r="F42" s="81" t="s">
        <v>482</v>
      </c>
      <c r="G42" s="65">
        <v>6830</v>
      </c>
      <c r="H42" s="72">
        <v>789</v>
      </c>
      <c r="I42" s="96" t="s">
        <v>436</v>
      </c>
      <c r="J42" s="81" t="s">
        <v>446</v>
      </c>
      <c r="K42" s="63">
        <v>0</v>
      </c>
      <c r="L42" s="63">
        <v>50</v>
      </c>
      <c r="M42" s="63">
        <v>50</v>
      </c>
      <c r="N42" s="64">
        <v>0</v>
      </c>
      <c r="O42" s="64">
        <v>50</v>
      </c>
      <c r="P42" s="30" t="s">
        <v>81</v>
      </c>
      <c r="Q42" s="64"/>
      <c r="R42" s="65"/>
      <c r="S42" s="66"/>
      <c r="T42" s="25"/>
      <c r="U42" s="25"/>
      <c r="V42" s="25"/>
      <c r="W42" s="20"/>
      <c r="X42" s="20"/>
      <c r="Y42" s="20"/>
    </row>
    <row r="43" spans="1:25" x14ac:dyDescent="0.25">
      <c r="A43" s="20">
        <v>42</v>
      </c>
      <c r="B43" s="71">
        <v>46225</v>
      </c>
      <c r="C43" s="80" t="s">
        <v>437</v>
      </c>
      <c r="D43" s="18" t="s">
        <v>80</v>
      </c>
      <c r="E43" s="18">
        <v>1</v>
      </c>
      <c r="F43" s="81" t="s">
        <v>93</v>
      </c>
      <c r="G43" s="65">
        <v>170399</v>
      </c>
      <c r="H43" s="72">
        <v>790</v>
      </c>
      <c r="I43" s="96" t="s">
        <v>422</v>
      </c>
      <c r="J43" s="81" t="s">
        <v>432</v>
      </c>
      <c r="K43" s="63">
        <v>0</v>
      </c>
      <c r="L43" s="63">
        <v>250</v>
      </c>
      <c r="M43" s="63">
        <v>250</v>
      </c>
      <c r="N43" s="64">
        <v>0</v>
      </c>
      <c r="O43" s="64">
        <v>250</v>
      </c>
      <c r="P43" s="30" t="s">
        <v>81</v>
      </c>
      <c r="Q43" s="64">
        <v>0</v>
      </c>
      <c r="R43" s="65"/>
      <c r="S43" s="66"/>
      <c r="T43" s="25"/>
      <c r="U43" s="25"/>
      <c r="V43" s="25"/>
      <c r="W43" s="20"/>
      <c r="X43" s="20"/>
      <c r="Y43" s="20"/>
    </row>
    <row r="44" spans="1:25" x14ac:dyDescent="0.25">
      <c r="A44" s="20">
        <v>43</v>
      </c>
      <c r="B44" s="71">
        <v>46225</v>
      </c>
      <c r="C44" s="80" t="s">
        <v>448</v>
      </c>
      <c r="D44" s="18" t="s">
        <v>80</v>
      </c>
      <c r="E44" s="18">
        <v>1</v>
      </c>
      <c r="F44" s="86" t="s">
        <v>87</v>
      </c>
      <c r="G44" s="65">
        <v>316986</v>
      </c>
      <c r="H44" s="72">
        <v>791</v>
      </c>
      <c r="I44" s="96" t="s">
        <v>436</v>
      </c>
      <c r="J44" s="81" t="s">
        <v>446</v>
      </c>
      <c r="K44" s="63">
        <v>0</v>
      </c>
      <c r="L44" s="63">
        <v>20</v>
      </c>
      <c r="M44" s="63">
        <v>20</v>
      </c>
      <c r="N44" s="64">
        <v>0</v>
      </c>
      <c r="O44" s="64">
        <v>20</v>
      </c>
      <c r="P44" s="30" t="s">
        <v>81</v>
      </c>
      <c r="Q44" s="64">
        <v>0</v>
      </c>
      <c r="R44" s="65"/>
      <c r="S44" s="66"/>
      <c r="T44" s="25"/>
      <c r="U44" s="25"/>
      <c r="V44" s="25"/>
      <c r="W44" s="20"/>
      <c r="X44" s="20"/>
      <c r="Y44" s="20"/>
    </row>
    <row r="45" spans="1:25" x14ac:dyDescent="0.25">
      <c r="A45" s="20">
        <v>44</v>
      </c>
      <c r="B45" s="71">
        <v>46225</v>
      </c>
      <c r="C45" s="80" t="s">
        <v>486</v>
      </c>
      <c r="D45" s="18" t="s">
        <v>487</v>
      </c>
      <c r="E45" s="18">
        <v>1</v>
      </c>
      <c r="F45" s="86"/>
      <c r="G45" s="65">
        <v>492860</v>
      </c>
      <c r="H45" s="72">
        <v>165</v>
      </c>
      <c r="I45" s="96" t="s">
        <v>17</v>
      </c>
      <c r="J45" s="81" t="s">
        <v>431</v>
      </c>
      <c r="K45" s="63">
        <v>200</v>
      </c>
      <c r="L45" s="63">
        <v>200</v>
      </c>
      <c r="M45" s="63">
        <v>400</v>
      </c>
      <c r="N45" s="64">
        <v>200</v>
      </c>
      <c r="O45" s="64">
        <v>200</v>
      </c>
      <c r="P45" s="30" t="s">
        <v>81</v>
      </c>
      <c r="Q45" s="64">
        <v>0</v>
      </c>
      <c r="R45" s="65"/>
      <c r="S45" s="66"/>
      <c r="T45" s="25"/>
      <c r="U45" s="25"/>
      <c r="V45" s="25"/>
      <c r="W45" s="20"/>
      <c r="X45" s="20"/>
      <c r="Y45" s="20"/>
    </row>
    <row r="46" spans="1:25" x14ac:dyDescent="0.25">
      <c r="A46" s="20">
        <v>45</v>
      </c>
      <c r="B46" s="71">
        <v>46226</v>
      </c>
      <c r="C46" s="81" t="s">
        <v>469</v>
      </c>
      <c r="D46" s="18" t="s">
        <v>80</v>
      </c>
      <c r="E46" s="18">
        <v>1</v>
      </c>
      <c r="F46" s="81" t="s">
        <v>483</v>
      </c>
      <c r="G46" s="65" t="s">
        <v>484</v>
      </c>
      <c r="H46" s="72">
        <v>792</v>
      </c>
      <c r="I46" s="96" t="s">
        <v>422</v>
      </c>
      <c r="J46" s="81" t="s">
        <v>432</v>
      </c>
      <c r="K46" s="63">
        <v>0</v>
      </c>
      <c r="L46" s="63">
        <v>2000</v>
      </c>
      <c r="M46" s="63">
        <v>2000</v>
      </c>
      <c r="N46" s="64">
        <v>0</v>
      </c>
      <c r="O46" s="64">
        <v>2000</v>
      </c>
      <c r="P46" s="30" t="s">
        <v>81</v>
      </c>
      <c r="Q46" s="64">
        <v>0</v>
      </c>
      <c r="R46" s="65"/>
      <c r="S46" s="66"/>
      <c r="T46" s="25"/>
      <c r="U46" s="25"/>
      <c r="V46" s="25"/>
      <c r="W46" s="20"/>
      <c r="X46" s="20"/>
      <c r="Y46" s="20"/>
    </row>
    <row r="47" spans="1:25" x14ac:dyDescent="0.25">
      <c r="A47" s="20">
        <v>46</v>
      </c>
      <c r="B47" s="71">
        <v>46226</v>
      </c>
      <c r="C47" s="98" t="s">
        <v>444</v>
      </c>
      <c r="D47" s="29" t="s">
        <v>488</v>
      </c>
      <c r="E47" s="29"/>
      <c r="F47" s="85"/>
      <c r="G47" s="66">
        <v>613149</v>
      </c>
      <c r="H47" s="77">
        <v>166</v>
      </c>
      <c r="I47" s="96"/>
      <c r="J47" s="81"/>
      <c r="K47" s="63"/>
      <c r="L47" s="63"/>
      <c r="M47" s="63"/>
      <c r="N47" s="64"/>
      <c r="O47" s="64">
        <v>0</v>
      </c>
      <c r="P47" s="30" t="s">
        <v>421</v>
      </c>
      <c r="Q47" s="64"/>
      <c r="R47" s="65"/>
      <c r="S47" s="66"/>
      <c r="T47" s="25"/>
      <c r="U47" s="25"/>
      <c r="V47" s="25"/>
      <c r="W47" s="20"/>
      <c r="X47" s="20"/>
      <c r="Y47" s="20"/>
    </row>
    <row r="48" spans="1:25" x14ac:dyDescent="0.25">
      <c r="A48" s="20">
        <v>47</v>
      </c>
      <c r="B48" s="71">
        <v>46226</v>
      </c>
      <c r="C48" s="80" t="s">
        <v>448</v>
      </c>
      <c r="D48" s="65" t="s">
        <v>470</v>
      </c>
      <c r="E48" s="18"/>
      <c r="F48" s="81" t="s">
        <v>479</v>
      </c>
      <c r="G48" s="65"/>
      <c r="H48" s="72">
        <v>167</v>
      </c>
      <c r="I48" s="96" t="s">
        <v>13</v>
      </c>
      <c r="J48" s="81" t="s">
        <v>431</v>
      </c>
      <c r="K48" s="63"/>
      <c r="L48" s="63">
        <v>50</v>
      </c>
      <c r="M48" s="63">
        <v>50</v>
      </c>
      <c r="N48" s="64"/>
      <c r="O48" s="64">
        <v>50</v>
      </c>
      <c r="P48" s="30" t="s">
        <v>81</v>
      </c>
      <c r="Q48" s="64"/>
      <c r="R48" s="65"/>
      <c r="S48" s="66"/>
      <c r="T48" s="25"/>
      <c r="U48" s="25"/>
      <c r="V48" s="25"/>
      <c r="W48" s="20"/>
      <c r="X48" s="20"/>
      <c r="Y48" s="20"/>
    </row>
    <row r="49" spans="1:25" x14ac:dyDescent="0.25">
      <c r="A49" s="20">
        <v>48</v>
      </c>
      <c r="B49" s="71">
        <v>46226</v>
      </c>
      <c r="C49" s="80" t="s">
        <v>444</v>
      </c>
      <c r="D49" s="18" t="s">
        <v>490</v>
      </c>
      <c r="E49" s="18"/>
      <c r="F49" s="81" t="s">
        <v>489</v>
      </c>
      <c r="G49" s="65">
        <v>593410</v>
      </c>
      <c r="H49" s="72">
        <v>168</v>
      </c>
      <c r="I49" s="96" t="s">
        <v>424</v>
      </c>
      <c r="J49" s="81" t="s">
        <v>431</v>
      </c>
      <c r="K49" s="63">
        <v>0</v>
      </c>
      <c r="L49" s="63">
        <v>50</v>
      </c>
      <c r="M49" s="63">
        <v>50</v>
      </c>
      <c r="N49" s="64"/>
      <c r="O49" s="64">
        <v>50</v>
      </c>
      <c r="P49" s="30" t="s">
        <v>81</v>
      </c>
      <c r="Q49" s="64">
        <v>0</v>
      </c>
      <c r="R49" s="65"/>
      <c r="S49" s="66"/>
      <c r="T49" s="25"/>
      <c r="U49" s="25"/>
      <c r="V49" s="25"/>
      <c r="W49" s="20"/>
      <c r="X49" s="20"/>
      <c r="Y49" s="20"/>
    </row>
    <row r="50" spans="1:25" x14ac:dyDescent="0.25">
      <c r="A50" s="20">
        <v>49</v>
      </c>
      <c r="B50" s="70">
        <v>46226</v>
      </c>
      <c r="C50" s="80" t="s">
        <v>486</v>
      </c>
      <c r="D50" s="61" t="s">
        <v>86</v>
      </c>
      <c r="E50" s="18">
        <v>1</v>
      </c>
      <c r="F50" s="81" t="s">
        <v>477</v>
      </c>
      <c r="G50" s="30">
        <v>74968</v>
      </c>
      <c r="H50" s="37">
        <v>793</v>
      </c>
      <c r="I50" s="94" t="s">
        <v>17</v>
      </c>
      <c r="J50" s="80" t="s">
        <v>446</v>
      </c>
      <c r="K50" s="40">
        <v>500</v>
      </c>
      <c r="L50" s="40">
        <v>500</v>
      </c>
      <c r="M50" s="40">
        <v>1000</v>
      </c>
      <c r="N50" s="16">
        <v>500</v>
      </c>
      <c r="O50" s="16">
        <v>500</v>
      </c>
      <c r="P50" s="30" t="s">
        <v>81</v>
      </c>
      <c r="Q50" s="16"/>
      <c r="R50" s="30"/>
      <c r="S50" s="31"/>
      <c r="T50" s="32"/>
      <c r="U50" s="32"/>
      <c r="V50" s="25"/>
      <c r="W50" s="20"/>
      <c r="X50" s="20"/>
      <c r="Y50" s="20"/>
    </row>
    <row r="51" spans="1:25" x14ac:dyDescent="0.25">
      <c r="A51" s="20">
        <v>50</v>
      </c>
      <c r="B51" s="70">
        <v>46226</v>
      </c>
      <c r="C51" s="80" t="s">
        <v>469</v>
      </c>
      <c r="D51" s="18" t="s">
        <v>80</v>
      </c>
      <c r="E51" s="18">
        <v>1</v>
      </c>
      <c r="F51" s="81" t="s">
        <v>93</v>
      </c>
      <c r="G51" s="30">
        <v>332990</v>
      </c>
      <c r="H51" s="37">
        <v>794</v>
      </c>
      <c r="I51" s="94" t="s">
        <v>422</v>
      </c>
      <c r="J51" s="80" t="s">
        <v>446</v>
      </c>
      <c r="K51" s="40"/>
      <c r="L51" s="40">
        <v>0</v>
      </c>
      <c r="M51" s="40">
        <v>0</v>
      </c>
      <c r="N51" s="16">
        <v>0</v>
      </c>
      <c r="O51" s="16">
        <v>0</v>
      </c>
      <c r="P51" s="30" t="s">
        <v>81</v>
      </c>
      <c r="Q51" s="16"/>
      <c r="R51" s="30"/>
      <c r="S51" s="31"/>
      <c r="T51" s="32"/>
      <c r="U51" s="32"/>
      <c r="V51" s="25"/>
      <c r="W51" s="20"/>
      <c r="X51" s="20"/>
      <c r="Y51" s="20"/>
    </row>
    <row r="52" spans="1:25" x14ac:dyDescent="0.25">
      <c r="A52" s="20">
        <v>51</v>
      </c>
      <c r="B52" s="70"/>
      <c r="C52" s="80"/>
      <c r="D52" s="18"/>
      <c r="E52" s="18"/>
      <c r="F52" s="81"/>
      <c r="G52" s="30"/>
      <c r="H52" s="37">
        <v>795</v>
      </c>
      <c r="I52" s="94"/>
      <c r="J52" s="80"/>
      <c r="K52" s="40"/>
      <c r="L52" s="40"/>
      <c r="M52" s="40"/>
      <c r="N52" s="16"/>
      <c r="O52" s="16"/>
      <c r="P52" s="30"/>
      <c r="Q52" s="16"/>
      <c r="R52" s="30"/>
      <c r="S52" s="31"/>
      <c r="T52" s="32"/>
      <c r="U52" s="32"/>
      <c r="V52" s="25"/>
      <c r="W52" s="20"/>
      <c r="X52" s="20"/>
      <c r="Y52" s="20"/>
    </row>
    <row r="53" spans="1:25" x14ac:dyDescent="0.25">
      <c r="A53" s="20">
        <v>52</v>
      </c>
      <c r="B53" s="70">
        <v>46226</v>
      </c>
      <c r="C53" s="80" t="s">
        <v>437</v>
      </c>
      <c r="D53" s="18" t="s">
        <v>80</v>
      </c>
      <c r="E53" s="18">
        <v>1</v>
      </c>
      <c r="F53" s="81" t="s">
        <v>491</v>
      </c>
      <c r="G53" s="30">
        <v>54716</v>
      </c>
      <c r="H53" s="37">
        <v>796</v>
      </c>
      <c r="I53" s="94" t="s">
        <v>422</v>
      </c>
      <c r="J53" s="80" t="s">
        <v>446</v>
      </c>
      <c r="K53" s="40">
        <v>0</v>
      </c>
      <c r="L53" s="40">
        <v>250</v>
      </c>
      <c r="M53" s="40">
        <v>250</v>
      </c>
      <c r="N53" s="16">
        <v>0</v>
      </c>
      <c r="O53" s="16">
        <v>250</v>
      </c>
      <c r="P53" s="30" t="s">
        <v>81</v>
      </c>
      <c r="Q53" s="16"/>
      <c r="R53" s="30"/>
      <c r="S53" s="31"/>
      <c r="T53" s="32"/>
      <c r="U53" s="32"/>
      <c r="V53" s="25"/>
      <c r="W53" s="20"/>
      <c r="X53" s="20"/>
      <c r="Y53" s="20"/>
    </row>
    <row r="54" spans="1:25" x14ac:dyDescent="0.25">
      <c r="A54" s="20">
        <v>53</v>
      </c>
      <c r="B54" s="70">
        <v>46226</v>
      </c>
      <c r="C54" s="80" t="s">
        <v>492</v>
      </c>
      <c r="D54" s="18" t="s">
        <v>472</v>
      </c>
      <c r="E54" s="18"/>
      <c r="F54" s="81" t="s">
        <v>493</v>
      </c>
      <c r="G54" s="30"/>
      <c r="H54" s="37">
        <v>169</v>
      </c>
      <c r="I54" s="94" t="s">
        <v>11</v>
      </c>
      <c r="J54" s="80" t="s">
        <v>431</v>
      </c>
      <c r="K54" s="40">
        <v>500</v>
      </c>
      <c r="L54" s="40">
        <v>0</v>
      </c>
      <c r="M54" s="40">
        <v>1100</v>
      </c>
      <c r="N54" s="16">
        <v>500</v>
      </c>
      <c r="O54" s="16">
        <v>600</v>
      </c>
      <c r="P54" s="30" t="s">
        <v>81</v>
      </c>
      <c r="Q54" s="16"/>
      <c r="R54" s="30"/>
      <c r="S54" s="31"/>
      <c r="T54" s="32"/>
      <c r="U54" s="32"/>
      <c r="V54" s="25"/>
      <c r="W54" s="20"/>
      <c r="X54" s="20"/>
      <c r="Y54" s="20"/>
    </row>
    <row r="55" spans="1:25" x14ac:dyDescent="0.25">
      <c r="A55" s="20">
        <v>54</v>
      </c>
      <c r="B55" s="70">
        <v>46226</v>
      </c>
      <c r="C55" s="80" t="s">
        <v>456</v>
      </c>
      <c r="D55" s="18" t="s">
        <v>494</v>
      </c>
      <c r="E55" s="18"/>
      <c r="F55" s="81" t="s">
        <v>495</v>
      </c>
      <c r="G55" s="30"/>
      <c r="H55" s="37">
        <v>170</v>
      </c>
      <c r="I55" s="94" t="s">
        <v>465</v>
      </c>
      <c r="J55" s="80" t="s">
        <v>431</v>
      </c>
      <c r="K55" s="40">
        <v>0</v>
      </c>
      <c r="L55" s="40">
        <v>150</v>
      </c>
      <c r="M55" s="40">
        <v>150</v>
      </c>
      <c r="N55" s="16"/>
      <c r="O55" s="16">
        <v>150</v>
      </c>
      <c r="P55" s="30" t="s">
        <v>81</v>
      </c>
      <c r="Q55" s="16"/>
      <c r="R55" s="30"/>
      <c r="S55" s="31"/>
      <c r="T55" s="32"/>
      <c r="U55" s="32"/>
      <c r="V55" s="25"/>
      <c r="W55" s="20"/>
      <c r="X55" s="20"/>
      <c r="Y55" s="20"/>
    </row>
    <row r="56" spans="1:25" x14ac:dyDescent="0.25">
      <c r="A56" s="20">
        <v>55</v>
      </c>
      <c r="B56" s="70">
        <v>46228</v>
      </c>
      <c r="C56" s="80" t="s">
        <v>448</v>
      </c>
      <c r="D56" s="65" t="s">
        <v>470</v>
      </c>
      <c r="E56" s="18"/>
      <c r="F56" s="81" t="s">
        <v>471</v>
      </c>
      <c r="G56" s="30">
        <v>316511</v>
      </c>
      <c r="H56" s="37">
        <v>171</v>
      </c>
      <c r="I56" s="94" t="s">
        <v>424</v>
      </c>
      <c r="J56" s="80" t="s">
        <v>431</v>
      </c>
      <c r="K56" s="40">
        <v>255</v>
      </c>
      <c r="L56" s="40">
        <v>35</v>
      </c>
      <c r="M56" s="40">
        <v>290</v>
      </c>
      <c r="N56" s="16">
        <v>255</v>
      </c>
      <c r="O56" s="16">
        <v>35</v>
      </c>
      <c r="P56" s="30" t="s">
        <v>420</v>
      </c>
      <c r="Q56" s="16"/>
      <c r="R56" s="30"/>
      <c r="S56" s="31"/>
      <c r="T56" s="32"/>
      <c r="U56" s="32"/>
      <c r="V56" s="25"/>
      <c r="W56" s="20"/>
      <c r="X56" s="20"/>
      <c r="Y56" s="20"/>
    </row>
    <row r="57" spans="1:25" x14ac:dyDescent="0.25">
      <c r="A57" s="20">
        <v>56</v>
      </c>
      <c r="B57" s="70">
        <v>46231</v>
      </c>
      <c r="C57" s="80" t="s">
        <v>448</v>
      </c>
      <c r="D57" s="65" t="s">
        <v>84</v>
      </c>
      <c r="E57" s="18">
        <v>1</v>
      </c>
      <c r="F57" s="86" t="s">
        <v>87</v>
      </c>
      <c r="G57" s="30">
        <v>158264</v>
      </c>
      <c r="H57" s="37">
        <v>797</v>
      </c>
      <c r="I57" s="94" t="s">
        <v>465</v>
      </c>
      <c r="J57" s="80" t="s">
        <v>446</v>
      </c>
      <c r="K57" s="40">
        <v>407</v>
      </c>
      <c r="L57" s="40">
        <v>50</v>
      </c>
      <c r="M57" s="40">
        <v>457</v>
      </c>
      <c r="N57" s="16">
        <v>271.45999999999998</v>
      </c>
      <c r="O57" s="16">
        <v>185.54</v>
      </c>
      <c r="P57" s="30" t="s">
        <v>81</v>
      </c>
      <c r="Q57" s="16">
        <v>135.54</v>
      </c>
      <c r="R57" s="30"/>
      <c r="S57" s="31"/>
      <c r="T57" s="32"/>
      <c r="U57" s="32"/>
      <c r="V57" s="25"/>
      <c r="W57" s="20"/>
      <c r="X57" s="20"/>
      <c r="Y57" s="20"/>
    </row>
    <row r="58" spans="1:25" x14ac:dyDescent="0.25">
      <c r="A58" s="20">
        <v>57</v>
      </c>
      <c r="B58" s="70">
        <v>46232</v>
      </c>
      <c r="C58" s="80" t="s">
        <v>437</v>
      </c>
      <c r="D58" s="18" t="s">
        <v>80</v>
      </c>
      <c r="E58" s="18">
        <v>1</v>
      </c>
      <c r="F58" s="81" t="s">
        <v>496</v>
      </c>
      <c r="G58" s="30">
        <v>39080</v>
      </c>
      <c r="H58" s="37">
        <v>798</v>
      </c>
      <c r="I58" s="94" t="s">
        <v>465</v>
      </c>
      <c r="J58" s="80" t="s">
        <v>432</v>
      </c>
      <c r="K58" s="40">
        <v>0</v>
      </c>
      <c r="L58" s="40">
        <v>250</v>
      </c>
      <c r="M58" s="40">
        <v>250</v>
      </c>
      <c r="N58" s="16"/>
      <c r="O58" s="16">
        <v>250</v>
      </c>
      <c r="P58" s="30" t="s">
        <v>81</v>
      </c>
      <c r="Q58" s="16"/>
      <c r="R58" s="30"/>
      <c r="S58" s="31"/>
      <c r="T58" s="32"/>
      <c r="U58" s="32"/>
      <c r="V58" s="25"/>
      <c r="W58" s="20"/>
      <c r="X58" s="20"/>
      <c r="Y58" s="20"/>
    </row>
    <row r="59" spans="1:25" x14ac:dyDescent="0.25">
      <c r="A59" s="20">
        <v>58</v>
      </c>
      <c r="B59" s="70">
        <v>46232</v>
      </c>
      <c r="C59" s="80" t="s">
        <v>469</v>
      </c>
      <c r="D59" s="18" t="s">
        <v>80</v>
      </c>
      <c r="E59" s="18">
        <v>1</v>
      </c>
      <c r="F59" s="81" t="s">
        <v>90</v>
      </c>
      <c r="G59" s="30">
        <v>124179</v>
      </c>
      <c r="H59" s="37">
        <v>799</v>
      </c>
      <c r="I59" s="94" t="s">
        <v>436</v>
      </c>
      <c r="J59" s="80" t="s">
        <v>432</v>
      </c>
      <c r="K59" s="40"/>
      <c r="L59" s="16">
        <v>350</v>
      </c>
      <c r="M59" s="40">
        <v>350</v>
      </c>
      <c r="N59" s="16"/>
      <c r="O59" s="16">
        <v>350</v>
      </c>
      <c r="P59" s="30" t="s">
        <v>81</v>
      </c>
      <c r="Q59" s="16"/>
      <c r="R59" s="30"/>
      <c r="S59" s="31"/>
      <c r="T59" s="32"/>
      <c r="U59" s="32"/>
      <c r="V59" s="25"/>
      <c r="W59" s="20"/>
      <c r="X59" s="20"/>
      <c r="Y59" s="20"/>
    </row>
    <row r="60" spans="1:25" x14ac:dyDescent="0.25">
      <c r="A60" s="20">
        <v>59</v>
      </c>
      <c r="B60" s="70">
        <v>46232</v>
      </c>
      <c r="C60" s="80" t="s">
        <v>456</v>
      </c>
      <c r="D60" s="18" t="s">
        <v>494</v>
      </c>
      <c r="E60" s="18"/>
      <c r="F60" s="81"/>
      <c r="G60" s="30"/>
      <c r="H60" s="37">
        <v>800</v>
      </c>
      <c r="I60" s="94" t="s">
        <v>465</v>
      </c>
      <c r="J60" s="80" t="s">
        <v>432</v>
      </c>
      <c r="K60" s="40"/>
      <c r="L60" s="40">
        <v>20</v>
      </c>
      <c r="M60" s="40">
        <v>20</v>
      </c>
      <c r="N60" s="16"/>
      <c r="O60" s="16">
        <v>20</v>
      </c>
      <c r="P60" s="30" t="s">
        <v>81</v>
      </c>
      <c r="Q60" s="16"/>
      <c r="R60" s="30"/>
      <c r="S60" s="31"/>
      <c r="T60" s="32"/>
      <c r="U60" s="32"/>
      <c r="V60" s="25"/>
      <c r="W60" s="20"/>
      <c r="X60" s="20"/>
      <c r="Y60" s="20"/>
    </row>
    <row r="61" spans="1:25" x14ac:dyDescent="0.25">
      <c r="A61" s="20">
        <v>60</v>
      </c>
      <c r="B61" s="70">
        <v>46233</v>
      </c>
      <c r="C61" s="80" t="s">
        <v>444</v>
      </c>
      <c r="D61" s="18" t="s">
        <v>497</v>
      </c>
      <c r="E61" s="18">
        <v>1</v>
      </c>
      <c r="F61" s="81" t="s">
        <v>498</v>
      </c>
      <c r="G61" s="30">
        <v>668706</v>
      </c>
      <c r="H61" s="37">
        <v>172</v>
      </c>
      <c r="I61" s="94" t="s">
        <v>13</v>
      </c>
      <c r="J61" s="80" t="s">
        <v>431</v>
      </c>
      <c r="K61" s="40">
        <v>0</v>
      </c>
      <c r="L61" s="16">
        <v>100</v>
      </c>
      <c r="M61" s="40">
        <v>100</v>
      </c>
      <c r="N61" s="16"/>
      <c r="O61" s="16">
        <v>100</v>
      </c>
      <c r="P61" s="30" t="s">
        <v>81</v>
      </c>
      <c r="Q61" s="16"/>
      <c r="R61" s="30"/>
      <c r="S61" s="31"/>
      <c r="T61" s="32"/>
      <c r="U61" s="32"/>
      <c r="V61" s="25"/>
      <c r="W61" s="20"/>
      <c r="X61" s="20"/>
      <c r="Y61" s="20"/>
    </row>
    <row r="62" spans="1:25" x14ac:dyDescent="0.25">
      <c r="A62" s="20">
        <v>61</v>
      </c>
      <c r="B62" s="70"/>
      <c r="C62" s="80" t="s">
        <v>486</v>
      </c>
      <c r="D62" s="18" t="s">
        <v>504</v>
      </c>
      <c r="E62" s="18"/>
      <c r="F62" s="81" t="s">
        <v>505</v>
      </c>
      <c r="G62" s="30">
        <v>713824</v>
      </c>
      <c r="H62" s="37">
        <v>173</v>
      </c>
      <c r="I62" s="94" t="s">
        <v>17</v>
      </c>
      <c r="J62" s="80" t="s">
        <v>431</v>
      </c>
      <c r="K62" s="40">
        <v>335</v>
      </c>
      <c r="L62" s="40">
        <v>215</v>
      </c>
      <c r="M62" s="16">
        <v>550</v>
      </c>
      <c r="N62" s="16">
        <v>335</v>
      </c>
      <c r="O62" s="16">
        <v>215</v>
      </c>
      <c r="P62" s="30" t="s">
        <v>81</v>
      </c>
      <c r="Q62" s="16"/>
      <c r="R62" s="30"/>
      <c r="S62" s="31"/>
      <c r="T62" s="32"/>
      <c r="U62" s="32"/>
      <c r="V62" s="25"/>
      <c r="W62" s="20"/>
      <c r="X62" s="20"/>
      <c r="Y62" s="20"/>
    </row>
    <row r="63" spans="1:25" x14ac:dyDescent="0.25">
      <c r="A63" s="20">
        <v>62</v>
      </c>
      <c r="B63" s="70">
        <v>46233</v>
      </c>
      <c r="C63" s="80" t="s">
        <v>444</v>
      </c>
      <c r="D63" s="18" t="s">
        <v>502</v>
      </c>
      <c r="E63" s="18">
        <v>1</v>
      </c>
      <c r="F63" s="81" t="s">
        <v>503</v>
      </c>
      <c r="G63" s="30">
        <v>143831</v>
      </c>
      <c r="H63" s="37">
        <v>174</v>
      </c>
      <c r="I63" s="94" t="s">
        <v>424</v>
      </c>
      <c r="J63" s="80" t="s">
        <v>431</v>
      </c>
      <c r="K63" s="40">
        <v>215</v>
      </c>
      <c r="L63" s="40">
        <v>45</v>
      </c>
      <c r="M63" s="40">
        <v>260</v>
      </c>
      <c r="N63" s="16">
        <v>215</v>
      </c>
      <c r="O63" s="16">
        <v>45</v>
      </c>
      <c r="P63" s="30" t="s">
        <v>81</v>
      </c>
      <c r="Q63" s="16"/>
      <c r="R63" s="30"/>
      <c r="S63" s="31"/>
      <c r="T63" s="32"/>
      <c r="U63" s="32"/>
      <c r="V63" s="25"/>
      <c r="W63" s="20"/>
      <c r="X63" s="20"/>
      <c r="Y63" s="20"/>
    </row>
    <row r="64" spans="1:25" x14ac:dyDescent="0.25">
      <c r="A64" s="20">
        <v>63</v>
      </c>
      <c r="B64" s="70">
        <v>46233</v>
      </c>
      <c r="C64" s="80" t="s">
        <v>469</v>
      </c>
      <c r="D64" s="18" t="s">
        <v>80</v>
      </c>
      <c r="E64" s="18">
        <v>1</v>
      </c>
      <c r="F64" s="81" t="s">
        <v>83</v>
      </c>
      <c r="G64" s="30">
        <v>45369</v>
      </c>
      <c r="H64" s="37">
        <v>801</v>
      </c>
      <c r="I64" s="94" t="s">
        <v>436</v>
      </c>
      <c r="J64" s="80" t="s">
        <v>432</v>
      </c>
      <c r="K64" s="40">
        <v>0</v>
      </c>
      <c r="L64" s="40">
        <v>0</v>
      </c>
      <c r="M64" s="40">
        <v>0</v>
      </c>
      <c r="N64" s="16">
        <v>0</v>
      </c>
      <c r="O64" s="16">
        <v>0</v>
      </c>
      <c r="P64" s="30" t="s">
        <v>81</v>
      </c>
      <c r="Q64" s="16"/>
      <c r="R64" s="30"/>
      <c r="S64" s="31"/>
      <c r="T64" s="32" t="s">
        <v>94</v>
      </c>
      <c r="U64" s="32"/>
      <c r="V64" s="25"/>
      <c r="W64" s="20"/>
      <c r="X64" s="20"/>
      <c r="Y64" s="20"/>
    </row>
    <row r="65" spans="1:25" x14ac:dyDescent="0.25">
      <c r="A65" s="20">
        <v>64</v>
      </c>
      <c r="B65" s="70">
        <v>46233</v>
      </c>
      <c r="C65" s="80" t="s">
        <v>448</v>
      </c>
      <c r="D65" s="65" t="s">
        <v>84</v>
      </c>
      <c r="E65" s="18">
        <v>1</v>
      </c>
      <c r="F65" s="86" t="s">
        <v>87</v>
      </c>
      <c r="G65" s="30">
        <v>157847</v>
      </c>
      <c r="H65" s="37">
        <v>802</v>
      </c>
      <c r="I65" s="94" t="s">
        <v>436</v>
      </c>
      <c r="J65" s="80" t="s">
        <v>446</v>
      </c>
      <c r="K65" s="40">
        <v>0</v>
      </c>
      <c r="L65" s="40">
        <v>20</v>
      </c>
      <c r="M65" s="40">
        <v>20</v>
      </c>
      <c r="N65" s="16">
        <v>0</v>
      </c>
      <c r="O65" s="16">
        <v>20</v>
      </c>
      <c r="P65" s="30" t="s">
        <v>81</v>
      </c>
      <c r="Q65" s="16"/>
      <c r="R65" s="30"/>
      <c r="S65" s="31"/>
      <c r="T65" s="32"/>
      <c r="U65" s="32"/>
      <c r="V65" s="25"/>
      <c r="W65" s="20"/>
      <c r="X65" s="20"/>
      <c r="Y65" s="20"/>
    </row>
    <row r="66" spans="1:25" x14ac:dyDescent="0.25">
      <c r="A66" s="20">
        <v>65</v>
      </c>
      <c r="B66" s="70">
        <v>46233</v>
      </c>
      <c r="C66" s="80" t="s">
        <v>448</v>
      </c>
      <c r="D66" s="18" t="s">
        <v>86</v>
      </c>
      <c r="E66" s="18"/>
      <c r="F66" s="86" t="s">
        <v>87</v>
      </c>
      <c r="G66" s="30">
        <v>38537</v>
      </c>
      <c r="H66" s="37">
        <v>803</v>
      </c>
      <c r="I66" s="94" t="s">
        <v>436</v>
      </c>
      <c r="J66" s="80" t="s">
        <v>446</v>
      </c>
      <c r="K66" s="40">
        <v>0</v>
      </c>
      <c r="L66" s="40">
        <v>200</v>
      </c>
      <c r="M66" s="40">
        <v>200</v>
      </c>
      <c r="N66" s="16">
        <v>0</v>
      </c>
      <c r="O66" s="16">
        <v>200</v>
      </c>
      <c r="P66" s="30" t="s">
        <v>81</v>
      </c>
      <c r="Q66" s="16"/>
      <c r="R66" s="30"/>
      <c r="S66" s="31"/>
      <c r="T66" s="32"/>
      <c r="U66" s="32"/>
      <c r="V66" s="25"/>
      <c r="W66" s="20"/>
      <c r="X66" s="20"/>
      <c r="Y66" s="20"/>
    </row>
    <row r="67" spans="1:25" x14ac:dyDescent="0.25">
      <c r="A67" s="20">
        <v>66</v>
      </c>
      <c r="B67" s="70">
        <v>46233</v>
      </c>
      <c r="C67" s="80" t="s">
        <v>448</v>
      </c>
      <c r="D67" s="65" t="s">
        <v>84</v>
      </c>
      <c r="E67" s="18">
        <v>1</v>
      </c>
      <c r="F67" s="81" t="s">
        <v>457</v>
      </c>
      <c r="G67" s="30">
        <v>155366</v>
      </c>
      <c r="H67" s="37">
        <v>804</v>
      </c>
      <c r="I67" s="94" t="s">
        <v>436</v>
      </c>
      <c r="J67" s="80"/>
      <c r="K67" s="40">
        <v>14</v>
      </c>
      <c r="L67" s="40">
        <v>100</v>
      </c>
      <c r="M67" s="40">
        <v>114</v>
      </c>
      <c r="N67" s="16">
        <v>10.38</v>
      </c>
      <c r="O67" s="16">
        <v>103.62</v>
      </c>
      <c r="P67" s="30" t="s">
        <v>81</v>
      </c>
      <c r="Q67" s="16">
        <v>3.62</v>
      </c>
      <c r="R67" s="30"/>
      <c r="S67" s="31"/>
      <c r="T67" s="32"/>
      <c r="U67" s="32"/>
      <c r="V67" s="25"/>
      <c r="W67" s="20"/>
      <c r="X67" s="20"/>
      <c r="Y67" s="20"/>
    </row>
    <row r="68" spans="1:25" x14ac:dyDescent="0.25">
      <c r="A68" s="20">
        <v>67</v>
      </c>
      <c r="B68" s="70">
        <v>46233</v>
      </c>
      <c r="C68" s="80" t="s">
        <v>448</v>
      </c>
      <c r="D68" s="18" t="s">
        <v>80</v>
      </c>
      <c r="E68" s="18">
        <v>1</v>
      </c>
      <c r="F68" s="81" t="s">
        <v>475</v>
      </c>
      <c r="G68" s="30">
        <v>62899</v>
      </c>
      <c r="H68" s="37">
        <v>806</v>
      </c>
      <c r="I68" s="94" t="s">
        <v>436</v>
      </c>
      <c r="J68" s="80" t="s">
        <v>432</v>
      </c>
      <c r="K68" s="40">
        <v>540</v>
      </c>
      <c r="L68" s="40">
        <v>1060</v>
      </c>
      <c r="M68" s="40">
        <v>1600</v>
      </c>
      <c r="N68" s="16">
        <v>540</v>
      </c>
      <c r="O68" s="16">
        <v>1060</v>
      </c>
      <c r="P68" s="30" t="s">
        <v>81</v>
      </c>
      <c r="Q68" s="16"/>
      <c r="R68" s="30"/>
      <c r="S68" s="31"/>
      <c r="T68" s="32"/>
      <c r="U68" s="32"/>
      <c r="V68" s="25"/>
      <c r="W68" s="20"/>
      <c r="X68" s="20"/>
      <c r="Y68" s="20"/>
    </row>
    <row r="69" spans="1:25" x14ac:dyDescent="0.25">
      <c r="A69" s="20">
        <v>68</v>
      </c>
      <c r="B69" s="70">
        <v>46234</v>
      </c>
      <c r="C69" s="80" t="s">
        <v>448</v>
      </c>
      <c r="D69" s="18" t="s">
        <v>80</v>
      </c>
      <c r="E69" s="18">
        <v>1</v>
      </c>
      <c r="F69" s="86" t="s">
        <v>501</v>
      </c>
      <c r="G69" s="30">
        <v>310319</v>
      </c>
      <c r="H69" s="37">
        <v>809</v>
      </c>
      <c r="I69" s="94" t="s">
        <v>436</v>
      </c>
      <c r="J69" s="80" t="s">
        <v>446</v>
      </c>
      <c r="K69" s="40">
        <v>456</v>
      </c>
      <c r="L69" s="40">
        <v>50</v>
      </c>
      <c r="M69" s="40">
        <v>506</v>
      </c>
      <c r="N69" s="16">
        <v>278.8</v>
      </c>
      <c r="O69" s="16">
        <v>227.2</v>
      </c>
      <c r="P69" s="30" t="s">
        <v>81</v>
      </c>
      <c r="Q69" s="16">
        <v>177.2</v>
      </c>
      <c r="R69" s="30"/>
      <c r="S69" s="31"/>
      <c r="T69" s="32"/>
      <c r="U69" s="32"/>
      <c r="V69" s="25"/>
      <c r="W69" s="20"/>
      <c r="X69" s="20"/>
      <c r="Y69" s="20"/>
    </row>
    <row r="70" spans="1:25" x14ac:dyDescent="0.25">
      <c r="A70" s="20">
        <v>69</v>
      </c>
      <c r="B70" s="70">
        <v>46233</v>
      </c>
      <c r="C70" s="80" t="s">
        <v>448</v>
      </c>
      <c r="D70" s="18" t="s">
        <v>80</v>
      </c>
      <c r="E70" s="18">
        <v>1</v>
      </c>
      <c r="F70" s="81" t="s">
        <v>475</v>
      </c>
      <c r="G70" s="30">
        <v>62899</v>
      </c>
      <c r="H70" s="37">
        <v>810</v>
      </c>
      <c r="I70" s="94" t="s">
        <v>11</v>
      </c>
      <c r="J70" s="80" t="s">
        <v>432</v>
      </c>
      <c r="K70" s="40">
        <v>0</v>
      </c>
      <c r="L70" s="40">
        <v>50</v>
      </c>
      <c r="M70" s="40">
        <v>50</v>
      </c>
      <c r="N70" s="16">
        <v>0</v>
      </c>
      <c r="O70" s="16">
        <v>50</v>
      </c>
      <c r="P70" s="30" t="s">
        <v>81</v>
      </c>
      <c r="Q70" s="16"/>
      <c r="R70" s="30"/>
      <c r="S70" s="31"/>
      <c r="T70" s="32"/>
      <c r="U70" s="32"/>
      <c r="V70" s="25"/>
      <c r="W70" s="20"/>
      <c r="X70" s="20"/>
      <c r="Y70" s="20"/>
    </row>
    <row r="71" spans="1:25" x14ac:dyDescent="0.25">
      <c r="A71" s="20">
        <v>70</v>
      </c>
      <c r="B71" s="70">
        <v>46233</v>
      </c>
      <c r="C71" s="80" t="s">
        <v>469</v>
      </c>
      <c r="D71" s="18" t="s">
        <v>86</v>
      </c>
      <c r="E71" s="18">
        <v>1</v>
      </c>
      <c r="F71" s="86" t="s">
        <v>506</v>
      </c>
      <c r="G71" s="30"/>
      <c r="H71" s="37">
        <v>811</v>
      </c>
      <c r="I71" s="94" t="s">
        <v>11</v>
      </c>
      <c r="J71" s="80" t="s">
        <v>432</v>
      </c>
      <c r="K71" s="40">
        <v>0</v>
      </c>
      <c r="L71" s="40">
        <v>1000</v>
      </c>
      <c r="M71" s="40">
        <v>1000</v>
      </c>
      <c r="N71" s="16">
        <v>0</v>
      </c>
      <c r="O71" s="16">
        <v>1000</v>
      </c>
      <c r="P71" s="30" t="s">
        <v>81</v>
      </c>
      <c r="Q71" s="16"/>
      <c r="R71" s="30"/>
      <c r="S71" s="31"/>
      <c r="T71" s="32"/>
      <c r="U71" s="32"/>
      <c r="V71" s="25"/>
      <c r="W71" s="20"/>
      <c r="X71" s="20"/>
      <c r="Y71" s="20"/>
    </row>
    <row r="72" spans="1:25" x14ac:dyDescent="0.25">
      <c r="A72" s="20">
        <v>71</v>
      </c>
      <c r="B72" s="70">
        <v>46234</v>
      </c>
      <c r="C72" s="80" t="s">
        <v>469</v>
      </c>
      <c r="D72" s="18" t="s">
        <v>80</v>
      </c>
      <c r="E72" s="18">
        <v>1</v>
      </c>
      <c r="F72" s="81" t="s">
        <v>507</v>
      </c>
      <c r="G72" s="30"/>
      <c r="H72" s="37">
        <v>812</v>
      </c>
      <c r="I72" s="94" t="s">
        <v>11</v>
      </c>
      <c r="J72" s="80" t="s">
        <v>432</v>
      </c>
      <c r="K72" s="40"/>
      <c r="L72" s="40">
        <v>600</v>
      </c>
      <c r="M72" s="40">
        <v>600</v>
      </c>
      <c r="N72" s="16"/>
      <c r="O72" s="16">
        <v>600</v>
      </c>
      <c r="P72" s="30" t="s">
        <v>81</v>
      </c>
      <c r="Q72" s="16"/>
      <c r="R72" s="30"/>
      <c r="S72" s="31"/>
      <c r="T72" s="32"/>
      <c r="U72" s="32"/>
      <c r="V72" s="25"/>
      <c r="W72" s="20"/>
      <c r="X72" s="20"/>
      <c r="Y72" s="20"/>
    </row>
    <row r="73" spans="1:25" x14ac:dyDescent="0.25">
      <c r="A73" s="20">
        <v>72</v>
      </c>
      <c r="B73" s="70"/>
      <c r="C73" s="80"/>
      <c r="D73" s="18"/>
      <c r="E73" s="18"/>
      <c r="F73" s="81"/>
      <c r="G73" s="30"/>
      <c r="H73" s="37"/>
      <c r="I73" s="94"/>
      <c r="J73" s="80"/>
      <c r="K73" s="40"/>
      <c r="L73" s="40"/>
      <c r="M73" s="40"/>
      <c r="N73" s="16"/>
      <c r="O73" s="16"/>
      <c r="P73" s="30"/>
      <c r="Q73" s="16"/>
      <c r="R73" s="30"/>
      <c r="S73" s="31"/>
      <c r="T73" s="32"/>
      <c r="U73" s="32"/>
      <c r="V73" s="25"/>
      <c r="W73" s="20"/>
      <c r="X73" s="20"/>
      <c r="Y73" s="20"/>
    </row>
    <row r="74" spans="1:25" x14ac:dyDescent="0.25">
      <c r="A74" s="105"/>
      <c r="B74" s="106"/>
      <c r="C74" s="107" t="s">
        <v>95</v>
      </c>
      <c r="D74" s="108"/>
      <c r="E74" s="108"/>
      <c r="F74" s="109"/>
      <c r="G74" s="110"/>
      <c r="H74" s="111"/>
      <c r="I74" s="112"/>
      <c r="K74" s="62">
        <f>SUM(K2:K73)</f>
        <v>11654</v>
      </c>
      <c r="L74" s="62">
        <f>SUM(L2:L73)</f>
        <v>15908</v>
      </c>
      <c r="M74" s="111">
        <f>SUM(M2:M73)</f>
        <v>28387</v>
      </c>
      <c r="N74" s="111">
        <f>SUM(N2:N73)</f>
        <v>10806.559999999998</v>
      </c>
      <c r="O74" s="111">
        <f>SUM(O2:O73)</f>
        <v>17580.440000000002</v>
      </c>
      <c r="P74" s="113"/>
      <c r="Q74" s="111">
        <f>SUM(Q10:Q70)</f>
        <v>847.16000000000008</v>
      </c>
      <c r="R74" s="114"/>
      <c r="S74" s="25"/>
      <c r="T74" s="25"/>
      <c r="U74" s="25"/>
      <c r="V74" s="25"/>
      <c r="W74" s="20"/>
      <c r="X74" s="20"/>
      <c r="Y74" s="20"/>
    </row>
    <row r="75" spans="1:25" x14ac:dyDescent="0.25">
      <c r="A75" s="20"/>
      <c r="B75" s="68"/>
      <c r="C75" s="82"/>
      <c r="D75" s="38"/>
      <c r="E75" s="38"/>
      <c r="F75" s="82"/>
      <c r="G75" s="38"/>
      <c r="H75" s="38"/>
      <c r="I75" s="82"/>
      <c r="J75" s="82"/>
      <c r="K75" s="26"/>
      <c r="L75" s="26"/>
      <c r="M75" s="26"/>
      <c r="N75" s="26"/>
      <c r="O75" s="26"/>
      <c r="P75" s="104"/>
      <c r="Q75" s="26"/>
      <c r="R75" s="41" t="s">
        <v>463</v>
      </c>
      <c r="S75" s="42" t="s">
        <v>29</v>
      </c>
      <c r="T75" s="25"/>
      <c r="U75" s="25"/>
      <c r="V75" s="20"/>
      <c r="W75" s="20"/>
      <c r="X75" s="20"/>
      <c r="Y75" s="20"/>
    </row>
    <row r="76" spans="1:25" x14ac:dyDescent="0.25">
      <c r="A76" s="20"/>
      <c r="B76" s="68"/>
      <c r="C76" s="81"/>
      <c r="D76" s="25"/>
      <c r="E76" s="43"/>
      <c r="F76" s="87"/>
      <c r="G76" s="43"/>
      <c r="H76" s="43"/>
      <c r="I76" s="87"/>
      <c r="J76" s="87" t="s">
        <v>85</v>
      </c>
      <c r="K76" s="44"/>
      <c r="L76" s="44"/>
      <c r="M76" s="44"/>
      <c r="N76" s="44"/>
      <c r="O76" s="44"/>
      <c r="P76" s="44"/>
      <c r="Q76" s="28"/>
      <c r="R76" s="45" t="s">
        <v>96</v>
      </c>
      <c r="S76" s="15">
        <v>4000</v>
      </c>
      <c r="T76" s="25"/>
      <c r="U76" s="25"/>
      <c r="V76" s="20"/>
      <c r="W76" s="20"/>
      <c r="X76" s="20"/>
      <c r="Y76" s="20"/>
    </row>
    <row r="77" spans="1:25" x14ac:dyDescent="0.25">
      <c r="A77" s="20"/>
      <c r="B77" s="68"/>
      <c r="C77" s="81"/>
      <c r="D77" s="25"/>
      <c r="E77" s="43"/>
      <c r="F77" s="87"/>
      <c r="G77" s="43"/>
      <c r="H77" s="43"/>
      <c r="I77" s="87"/>
      <c r="J77" s="87"/>
      <c r="K77" s="44"/>
      <c r="L77" s="44"/>
      <c r="M77" s="44"/>
      <c r="N77" s="44"/>
      <c r="O77" s="44"/>
      <c r="P77" s="44"/>
      <c r="Q77" s="28"/>
      <c r="R77" s="45" t="s">
        <v>97</v>
      </c>
      <c r="S77" s="15">
        <v>750</v>
      </c>
      <c r="T77" s="25"/>
      <c r="U77" s="25"/>
      <c r="V77" s="20"/>
      <c r="W77" s="20"/>
      <c r="X77" s="20"/>
      <c r="Y77" s="20"/>
    </row>
    <row r="78" spans="1:25" x14ac:dyDescent="0.25">
      <c r="A78" s="20"/>
      <c r="B78" s="68"/>
      <c r="C78" s="81"/>
      <c r="D78" s="25"/>
      <c r="E78" s="43"/>
      <c r="F78" s="87"/>
      <c r="G78" s="43"/>
      <c r="H78" s="43"/>
      <c r="I78" s="87"/>
      <c r="J78" s="87"/>
      <c r="K78" s="44"/>
      <c r="L78" s="44"/>
      <c r="M78" s="44"/>
      <c r="N78" s="44"/>
      <c r="O78" s="44"/>
      <c r="P78" s="44"/>
      <c r="Q78" s="28"/>
      <c r="R78" s="45" t="s">
        <v>32</v>
      </c>
      <c r="S78" s="15">
        <v>2300</v>
      </c>
      <c r="T78" s="25"/>
      <c r="U78" s="25"/>
      <c r="V78" s="20"/>
      <c r="W78" s="20"/>
      <c r="X78" s="20"/>
      <c r="Y78" s="20"/>
    </row>
    <row r="79" spans="1:25" x14ac:dyDescent="0.25">
      <c r="A79" s="20"/>
      <c r="B79" s="68"/>
      <c r="C79" s="81"/>
      <c r="D79" s="25"/>
      <c r="E79" s="43"/>
      <c r="F79" s="87"/>
      <c r="G79" s="43"/>
      <c r="H79" s="43"/>
      <c r="I79" s="87"/>
      <c r="J79" s="100"/>
      <c r="K79" s="46"/>
      <c r="L79" s="46"/>
      <c r="M79" s="46"/>
      <c r="N79" s="101"/>
      <c r="O79" s="44"/>
      <c r="P79" s="56"/>
      <c r="Q79" s="28"/>
      <c r="R79" s="45" t="s">
        <v>460</v>
      </c>
      <c r="S79" s="15">
        <v>1450</v>
      </c>
      <c r="T79" s="25"/>
      <c r="U79" s="25"/>
      <c r="V79" s="20"/>
      <c r="W79" s="20"/>
      <c r="X79" s="20"/>
      <c r="Y79" s="20"/>
    </row>
    <row r="80" spans="1:25" x14ac:dyDescent="0.25">
      <c r="A80" s="20"/>
      <c r="B80" s="68"/>
      <c r="C80" s="81"/>
      <c r="D80" s="25"/>
      <c r="E80" s="43"/>
      <c r="F80" s="87"/>
      <c r="G80" s="43"/>
      <c r="H80" s="43"/>
      <c r="I80" s="87"/>
      <c r="J80" s="100"/>
      <c r="K80" s="46"/>
      <c r="L80" s="46"/>
      <c r="M80" s="46"/>
      <c r="N80" s="46"/>
      <c r="O80" s="46"/>
      <c r="P80" s="57"/>
      <c r="Q80" s="28"/>
      <c r="R80" s="45" t="s">
        <v>34</v>
      </c>
      <c r="S80" s="15">
        <v>2500</v>
      </c>
      <c r="T80" s="25"/>
      <c r="U80" s="25"/>
      <c r="V80" s="20"/>
      <c r="W80" s="20"/>
      <c r="X80" s="20"/>
      <c r="Y80" s="20"/>
    </row>
    <row r="81" spans="1:25" x14ac:dyDescent="0.25">
      <c r="A81" s="20"/>
      <c r="B81" s="68"/>
      <c r="C81" s="81"/>
      <c r="D81" s="25"/>
      <c r="E81" s="43"/>
      <c r="F81" s="87"/>
      <c r="G81" s="43"/>
      <c r="H81" s="43"/>
      <c r="I81" s="87"/>
      <c r="J81" s="87"/>
      <c r="K81" s="44"/>
      <c r="L81" s="44"/>
      <c r="M81" s="46"/>
      <c r="N81" s="44"/>
      <c r="O81" s="44"/>
      <c r="P81" s="56"/>
      <c r="Q81" s="28"/>
      <c r="R81" s="45" t="s">
        <v>98</v>
      </c>
      <c r="S81" s="15">
        <v>4200</v>
      </c>
      <c r="T81" s="25"/>
      <c r="U81" s="25"/>
      <c r="V81" s="20"/>
      <c r="W81" s="20"/>
      <c r="X81" s="20"/>
      <c r="Y81" s="20"/>
    </row>
    <row r="82" spans="1:25" x14ac:dyDescent="0.25">
      <c r="A82" s="20"/>
      <c r="B82" s="68"/>
      <c r="C82" s="81"/>
      <c r="D82" s="25"/>
      <c r="E82" s="43"/>
      <c r="F82" s="87"/>
      <c r="G82" s="43"/>
      <c r="H82" s="43"/>
      <c r="I82" s="87"/>
      <c r="J82" s="87"/>
      <c r="K82" s="44"/>
      <c r="L82" s="44"/>
      <c r="M82" s="44"/>
      <c r="N82" s="44"/>
      <c r="O82" s="44"/>
      <c r="P82" s="56"/>
      <c r="Q82" s="28"/>
      <c r="R82" s="45" t="s">
        <v>36</v>
      </c>
      <c r="S82" s="15">
        <v>2000</v>
      </c>
      <c r="T82" s="25"/>
      <c r="U82" s="25"/>
      <c r="V82" s="20"/>
      <c r="W82" s="20"/>
      <c r="X82" s="20"/>
      <c r="Y82" s="20"/>
    </row>
    <row r="83" spans="1:25" x14ac:dyDescent="0.25">
      <c r="A83" s="20"/>
      <c r="B83" s="68"/>
      <c r="C83" s="81"/>
      <c r="D83" s="25"/>
      <c r="E83" s="43"/>
      <c r="F83" s="87"/>
      <c r="G83" s="43"/>
      <c r="H83" s="43"/>
      <c r="I83" s="87"/>
      <c r="J83" s="87"/>
      <c r="K83" s="44"/>
      <c r="L83" s="44"/>
      <c r="M83" s="44"/>
      <c r="N83" s="46"/>
      <c r="O83" s="44"/>
      <c r="P83" s="56"/>
      <c r="Q83" s="28"/>
      <c r="R83" s="45" t="s">
        <v>99</v>
      </c>
      <c r="S83" s="15">
        <v>200</v>
      </c>
      <c r="T83" s="25"/>
      <c r="U83" s="25"/>
      <c r="V83" s="20"/>
      <c r="W83" s="20"/>
      <c r="X83" s="20"/>
      <c r="Y83" s="20"/>
    </row>
    <row r="84" spans="1:25" x14ac:dyDescent="0.25">
      <c r="A84" s="20"/>
      <c r="B84" s="68"/>
      <c r="C84" s="81"/>
      <c r="D84" s="25"/>
      <c r="E84" s="43"/>
      <c r="F84" s="87"/>
      <c r="G84" s="43"/>
      <c r="H84" s="43"/>
      <c r="I84" s="87"/>
      <c r="J84" s="87"/>
      <c r="K84" s="44"/>
      <c r="L84" s="44"/>
      <c r="M84" s="44"/>
      <c r="N84" s="44"/>
      <c r="O84" s="44"/>
      <c r="P84" s="56"/>
      <c r="Q84" s="28"/>
      <c r="R84" s="45" t="s">
        <v>427</v>
      </c>
      <c r="S84" s="15">
        <v>200</v>
      </c>
      <c r="T84" s="25"/>
      <c r="U84" s="25"/>
      <c r="V84" s="20"/>
      <c r="W84" s="20"/>
      <c r="X84" s="20"/>
      <c r="Y84" s="20"/>
    </row>
    <row r="85" spans="1:25" x14ac:dyDescent="0.25">
      <c r="A85" s="20"/>
      <c r="B85" s="68"/>
      <c r="C85" s="81"/>
      <c r="D85" s="25"/>
      <c r="E85" s="43"/>
      <c r="F85" s="87"/>
      <c r="G85" s="43"/>
      <c r="H85" s="43"/>
      <c r="I85" s="87"/>
      <c r="J85" s="87"/>
      <c r="K85" s="44"/>
      <c r="L85" s="44"/>
      <c r="M85" s="44"/>
      <c r="N85" s="44"/>
      <c r="O85" s="44"/>
      <c r="P85" s="56"/>
      <c r="Q85" s="28"/>
      <c r="R85" s="45" t="s">
        <v>100</v>
      </c>
      <c r="S85" s="15">
        <v>200</v>
      </c>
      <c r="T85" s="25"/>
      <c r="U85" s="25"/>
      <c r="V85" s="20"/>
      <c r="W85" s="20"/>
      <c r="X85" s="20"/>
      <c r="Y85" s="20"/>
    </row>
    <row r="86" spans="1:25" x14ac:dyDescent="0.25">
      <c r="A86" s="20"/>
      <c r="B86" s="68"/>
      <c r="C86" s="81"/>
      <c r="D86" s="25"/>
      <c r="E86" s="43"/>
      <c r="F86" s="87"/>
      <c r="G86" s="43"/>
      <c r="H86" s="43"/>
      <c r="I86" s="87"/>
      <c r="J86" s="87"/>
      <c r="K86" s="44"/>
      <c r="L86" s="44"/>
      <c r="M86" s="44"/>
      <c r="N86" s="44"/>
      <c r="O86" s="44"/>
      <c r="P86" s="56"/>
      <c r="Q86" s="28"/>
      <c r="R86" s="45" t="s">
        <v>101</v>
      </c>
      <c r="S86" s="15">
        <v>400</v>
      </c>
      <c r="T86" s="25"/>
      <c r="U86" s="25"/>
      <c r="V86" s="20"/>
      <c r="W86" s="20"/>
      <c r="X86" s="20"/>
      <c r="Y86" s="20"/>
    </row>
    <row r="87" spans="1:25" x14ac:dyDescent="0.25">
      <c r="A87" s="20"/>
      <c r="B87" s="68"/>
      <c r="C87" s="81"/>
      <c r="D87" s="25"/>
      <c r="E87" s="43"/>
      <c r="F87" s="87"/>
      <c r="G87" s="43"/>
      <c r="H87" s="43"/>
      <c r="I87" s="87"/>
      <c r="J87" s="87"/>
      <c r="K87" s="44"/>
      <c r="L87" s="44"/>
      <c r="M87" s="46"/>
      <c r="N87" s="44"/>
      <c r="O87" s="44"/>
      <c r="P87" s="56"/>
      <c r="Q87" s="28"/>
      <c r="R87" s="45" t="s">
        <v>102</v>
      </c>
      <c r="S87" s="15">
        <v>200</v>
      </c>
      <c r="T87" s="25"/>
      <c r="U87" s="25"/>
      <c r="V87" s="20"/>
      <c r="W87" s="20"/>
      <c r="X87" s="20"/>
      <c r="Y87" s="20"/>
    </row>
    <row r="88" spans="1:25" x14ac:dyDescent="0.25">
      <c r="A88" s="20"/>
      <c r="B88" s="68"/>
      <c r="C88" s="81"/>
      <c r="D88" s="25"/>
      <c r="E88" s="43"/>
      <c r="F88" s="87"/>
      <c r="G88" s="43"/>
      <c r="H88" s="43"/>
      <c r="I88" s="87"/>
      <c r="J88" s="87"/>
      <c r="K88" s="44"/>
      <c r="L88" s="44"/>
      <c r="M88" s="44"/>
      <c r="N88" s="44"/>
      <c r="O88" s="44"/>
      <c r="P88" s="56"/>
      <c r="Q88" s="28"/>
      <c r="R88" s="45" t="s">
        <v>426</v>
      </c>
      <c r="S88" s="15">
        <v>4000</v>
      </c>
      <c r="T88" s="25"/>
      <c r="U88" s="25"/>
      <c r="V88" s="20"/>
      <c r="W88" s="20"/>
      <c r="X88" s="20"/>
      <c r="Y88" s="20"/>
    </row>
    <row r="89" spans="1:25" x14ac:dyDescent="0.25">
      <c r="A89" s="20"/>
      <c r="B89" s="68"/>
      <c r="C89" s="81"/>
      <c r="D89" s="25"/>
      <c r="E89" s="43"/>
      <c r="F89" s="87"/>
      <c r="G89" s="43"/>
      <c r="H89" s="43"/>
      <c r="I89" s="87"/>
      <c r="J89" s="87"/>
      <c r="K89" s="44"/>
      <c r="L89" s="44"/>
      <c r="M89" s="44"/>
      <c r="N89" s="44"/>
      <c r="O89" s="44"/>
      <c r="P89" s="56"/>
      <c r="Q89" s="28"/>
      <c r="R89" s="45" t="s">
        <v>37</v>
      </c>
      <c r="S89" s="15">
        <v>810.31</v>
      </c>
      <c r="T89" s="25"/>
      <c r="U89" s="25"/>
      <c r="V89" s="20"/>
      <c r="W89" s="20"/>
      <c r="X89" s="20"/>
      <c r="Y89" s="20"/>
    </row>
    <row r="90" spans="1:25" x14ac:dyDescent="0.25">
      <c r="A90" s="20"/>
      <c r="B90" s="68"/>
      <c r="C90" s="81"/>
      <c r="D90" s="25"/>
      <c r="E90" s="43"/>
      <c r="F90" s="87"/>
      <c r="G90" s="43"/>
      <c r="H90" s="43"/>
      <c r="I90" s="87"/>
      <c r="J90" s="87"/>
      <c r="K90" s="44"/>
      <c r="L90" s="44"/>
      <c r="M90" s="44"/>
      <c r="N90" s="44"/>
      <c r="O90" s="44"/>
      <c r="P90" s="56"/>
      <c r="Q90" s="28"/>
      <c r="R90" s="45" t="s">
        <v>38</v>
      </c>
      <c r="S90" s="15">
        <v>200</v>
      </c>
      <c r="T90" s="25"/>
      <c r="U90" s="25"/>
      <c r="V90" s="20"/>
      <c r="W90" s="20"/>
      <c r="X90" s="20"/>
      <c r="Y90" s="20"/>
    </row>
    <row r="91" spans="1:25" x14ac:dyDescent="0.25">
      <c r="A91" s="20"/>
      <c r="B91" s="39"/>
      <c r="C91" s="81"/>
      <c r="D91" s="25"/>
      <c r="E91" s="43"/>
      <c r="F91" s="87"/>
      <c r="G91" s="43"/>
      <c r="H91" s="43"/>
      <c r="I91" s="87"/>
      <c r="J91" s="87"/>
      <c r="K91" s="44"/>
      <c r="L91" s="44"/>
      <c r="M91" s="44"/>
      <c r="N91" s="44"/>
      <c r="O91" s="44"/>
      <c r="P91" s="56"/>
      <c r="Q91" s="28"/>
      <c r="R91" s="45" t="s">
        <v>39</v>
      </c>
      <c r="S91" s="15">
        <v>0</v>
      </c>
      <c r="T91" s="25"/>
      <c r="U91" s="25"/>
      <c r="V91" s="20"/>
      <c r="W91" s="20"/>
      <c r="X91" s="20"/>
      <c r="Y91" s="20"/>
    </row>
    <row r="92" spans="1:25" x14ac:dyDescent="0.25">
      <c r="A92" s="20"/>
      <c r="B92" s="39"/>
      <c r="C92" s="81"/>
      <c r="D92" s="25"/>
      <c r="E92" s="43"/>
      <c r="F92" s="87"/>
      <c r="G92" s="43"/>
      <c r="H92" s="43"/>
      <c r="I92" s="87"/>
      <c r="J92" s="87"/>
      <c r="K92" s="44"/>
      <c r="L92" s="44"/>
      <c r="M92" s="44"/>
      <c r="N92" s="44"/>
      <c r="O92" s="44"/>
      <c r="P92" s="56"/>
      <c r="Q92" s="28"/>
      <c r="R92" s="45" t="s">
        <v>103</v>
      </c>
      <c r="S92" s="15">
        <v>35</v>
      </c>
      <c r="T92" s="25"/>
      <c r="U92" s="25"/>
      <c r="V92" s="20"/>
      <c r="W92" s="20"/>
      <c r="X92" s="20"/>
      <c r="Y92" s="20"/>
    </row>
    <row r="93" spans="1:25" x14ac:dyDescent="0.25">
      <c r="A93" s="20"/>
      <c r="B93" s="69"/>
      <c r="C93" s="83"/>
      <c r="D93" s="20"/>
      <c r="E93" s="44"/>
      <c r="F93" s="88"/>
      <c r="G93" s="47"/>
      <c r="H93" s="47"/>
      <c r="I93" s="88"/>
      <c r="J93" s="88"/>
      <c r="K93" s="44"/>
      <c r="L93" s="44"/>
      <c r="M93" s="44"/>
      <c r="N93" s="44"/>
      <c r="O93" s="44"/>
      <c r="P93" s="56"/>
      <c r="Q93" s="48"/>
      <c r="R93" s="49" t="s">
        <v>463</v>
      </c>
      <c r="S93" s="50">
        <f>SUM(S76:S92)</f>
        <v>23445.31</v>
      </c>
      <c r="T93" s="20"/>
      <c r="U93" s="20"/>
      <c r="V93" s="20"/>
      <c r="W93" s="20"/>
      <c r="X93" s="20"/>
      <c r="Y93" s="54"/>
    </row>
    <row r="94" spans="1:25" x14ac:dyDescent="0.25">
      <c r="A94" s="20"/>
      <c r="B94" s="69"/>
      <c r="C94" s="83"/>
      <c r="D94" s="20"/>
      <c r="E94" s="51" t="s">
        <v>85</v>
      </c>
      <c r="F94" s="89"/>
      <c r="G94" s="51"/>
      <c r="H94" s="51"/>
      <c r="I94" s="89"/>
      <c r="J94" s="89"/>
      <c r="K94" s="51"/>
      <c r="L94" s="51"/>
      <c r="M94" s="51"/>
      <c r="N94" s="51"/>
      <c r="O94" s="51"/>
      <c r="P94" s="58"/>
      <c r="Q94" s="51"/>
      <c r="R94" s="52" t="s">
        <v>104</v>
      </c>
      <c r="S94" s="53">
        <f>O74-S93</f>
        <v>-5864.869999999999</v>
      </c>
      <c r="T94" s="20"/>
      <c r="U94" s="20"/>
      <c r="V94" s="20"/>
      <c r="W94" s="20"/>
      <c r="X94" s="20"/>
    </row>
    <row r="95" spans="1:25" x14ac:dyDescent="0.25">
      <c r="A95" s="20"/>
      <c r="E95" s="33"/>
      <c r="F95" s="90"/>
      <c r="G95" s="33"/>
      <c r="H95" s="33"/>
      <c r="I95" s="90"/>
      <c r="J95" s="90"/>
      <c r="K95" s="33"/>
      <c r="L95" s="33"/>
      <c r="M95" s="33"/>
      <c r="N95" s="33"/>
      <c r="O95" s="33"/>
      <c r="P95" s="59"/>
      <c r="Q95" s="33"/>
    </row>
    <row r="96" spans="1:25" x14ac:dyDescent="0.25">
      <c r="A96" s="20"/>
      <c r="E96" s="33"/>
      <c r="F96" s="90"/>
      <c r="G96" s="33"/>
      <c r="H96" s="33"/>
      <c r="I96" s="90"/>
      <c r="J96" s="90"/>
      <c r="K96" s="33"/>
      <c r="L96" s="33"/>
      <c r="M96" s="33"/>
      <c r="N96" s="33"/>
      <c r="O96" s="33"/>
      <c r="P96" s="59"/>
      <c r="Q96" s="33"/>
    </row>
    <row r="97" spans="1:17" x14ac:dyDescent="0.25">
      <c r="A97" s="20"/>
      <c r="E97" s="34"/>
      <c r="F97" s="91"/>
      <c r="G97" s="34"/>
      <c r="H97" s="34"/>
      <c r="I97" s="91"/>
      <c r="J97" s="91"/>
      <c r="K97" s="34"/>
      <c r="L97" s="34"/>
      <c r="M97" s="34"/>
      <c r="N97" s="34"/>
      <c r="O97" s="34"/>
      <c r="Q97" s="34"/>
    </row>
    <row r="98" spans="1:17" x14ac:dyDescent="0.25">
      <c r="A98" s="20"/>
      <c r="E98" s="34"/>
      <c r="F98" s="91"/>
      <c r="G98" s="34"/>
      <c r="H98" s="34"/>
      <c r="I98" s="91"/>
      <c r="J98" s="91"/>
      <c r="K98" s="34"/>
      <c r="L98" s="34"/>
      <c r="M98" s="34"/>
      <c r="N98" s="34"/>
      <c r="O98" s="34"/>
      <c r="Q98" s="34"/>
    </row>
    <row r="99" spans="1:17" x14ac:dyDescent="0.25">
      <c r="A99" s="20"/>
      <c r="E99" s="34"/>
      <c r="F99" s="91"/>
      <c r="G99" s="34"/>
      <c r="H99" s="34"/>
      <c r="I99" s="91"/>
      <c r="J99" s="91"/>
      <c r="K99" s="34"/>
      <c r="L99" s="34"/>
      <c r="M99" s="34"/>
      <c r="N99" s="34"/>
      <c r="O99" s="34"/>
      <c r="Q99" s="34"/>
    </row>
  </sheetData>
  <conditionalFormatting sqref="P2:P11">
    <cfRule type="containsText" dxfId="18" priority="5" operator="containsText" text="Overdue">
      <formula>NOT(ISERROR(SEARCH("Overdue",P2)))</formula>
    </cfRule>
    <cfRule type="containsText" dxfId="17" priority="6" operator="containsText" text="Pending">
      <formula>NOT(ISERROR(SEARCH("Pending",P2)))</formula>
    </cfRule>
  </conditionalFormatting>
  <conditionalFormatting sqref="P10:P73">
    <cfRule type="containsText" dxfId="16" priority="1" operator="containsText" text="Paid">
      <formula>NOT(ISERROR(SEARCH("Paid",P10)))</formula>
    </cfRule>
  </conditionalFormatting>
  <conditionalFormatting sqref="P12:P73">
    <cfRule type="containsText" dxfId="15" priority="2" operator="containsText" text="Overdue">
      <formula>NOT(ISERROR(SEARCH("Overdue",P12)))</formula>
    </cfRule>
    <cfRule type="containsText" dxfId="14" priority="3" operator="containsText" text="Pending">
      <formula>NOT(ISERROR(SEARCH("Pending",P12)))</formula>
    </cfRule>
  </conditionalFormatting>
  <conditionalFormatting sqref="P2:Q9">
    <cfRule type="containsText" dxfId="13" priority="4" operator="containsText" text="Paid">
      <formula>NOT(ISERROR(SEARCH("Paid",P2)))</formula>
    </cfRule>
  </conditionalFormatting>
  <conditionalFormatting sqref="Q2:Q9">
    <cfRule type="containsText" dxfId="12" priority="7" operator="containsText" text="Unpaid">
      <formula>NOT(ISERROR(SEARCH("Unpaid",Q2)))</formula>
    </cfRule>
  </conditionalFormatting>
  <conditionalFormatting sqref="R24:R73">
    <cfRule type="containsText" dxfId="11" priority="9" operator="containsText" text="Overdue">
      <formula>NOT(ISERROR(SEARCH("Overdue",R24)))</formula>
    </cfRule>
    <cfRule type="containsText" dxfId="10" priority="10" operator="containsText" text="Pending">
      <formula>NOT(ISERROR(SEARCH("Pending",R24)))</formula>
    </cfRule>
  </conditionalFormatting>
  <conditionalFormatting sqref="S10:S23 R24:S73">
    <cfRule type="containsText" dxfId="9" priority="8" operator="containsText" text="Paid">
      <formula>NOT(ISERROR(SEARCH("Paid",R10)))</formula>
    </cfRule>
  </conditionalFormatting>
  <conditionalFormatting sqref="S10:S73">
    <cfRule type="containsText" dxfId="8" priority="11" operator="containsText" text="Unpaid">
      <formula>NOT(ISERROR(SEARCH("Unpaid",S10)))</formula>
    </cfRule>
  </conditionalFormatting>
  <dataValidations count="2">
    <dataValidation type="list" allowBlank="1" showInputMessage="1" showErrorMessage="1" promptTitle="Invoice Status" prompt="Choose from the list" sqref="P2:P24 R24:R73" xr:uid="{34BBE875-B5A3-45D6-AFE2-DAE9ECE9D313}">
      <formula1>"Pending,Sent,Paid,Overdue"</formula1>
      <formula2>0</formula2>
    </dataValidation>
    <dataValidation type="list" allowBlank="1" showInputMessage="1" showErrorMessage="1" promptTitle="Payment Status" prompt="Choose from the list" sqref="Q2:Q9 S10:S73" xr:uid="{79832986-E826-4C77-BCF7-BD2F20939615}">
      <formula1>"Unpaid,Partial,Paid"</formula1>
      <formula2>0</formula2>
    </dataValidation>
  </dataValidations>
  <pageMargins left="0.7" right="0.7" top="0.75" bottom="0.75" header="0.3" footer="0.3"/>
  <pageSetup paperSize="9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543B0-1098-4912-9D69-99539A100108}">
  <dimension ref="A1:Y97"/>
  <sheetViews>
    <sheetView zoomScaleNormal="100" workbookViewId="0">
      <pane ySplit="1" topLeftCell="A59" activePane="bottomLeft" state="frozen"/>
      <selection activeCell="C1" sqref="C1"/>
      <selection pane="bottomLeft" activeCell="A2" sqref="A2"/>
    </sheetView>
  </sheetViews>
  <sheetFormatPr defaultRowHeight="15" x14ac:dyDescent="0.25"/>
  <cols>
    <col min="1" max="1" width="7.140625" customWidth="1"/>
    <col min="2" max="2" width="10.42578125" bestFit="1" customWidth="1"/>
    <col min="3" max="3" width="18.42578125" bestFit="1" customWidth="1"/>
    <col min="4" max="4" width="18.5703125" bestFit="1" customWidth="1"/>
    <col min="6" max="6" width="23.5703125" bestFit="1" customWidth="1"/>
    <col min="9" max="9" width="10.7109375" bestFit="1" customWidth="1"/>
    <col min="10" max="10" width="12.140625" bestFit="1" customWidth="1"/>
    <col min="11" max="11" width="16.5703125" bestFit="1" customWidth="1"/>
    <col min="12" max="12" width="18.7109375" bestFit="1" customWidth="1"/>
    <col min="13" max="13" width="22.85546875" bestFit="1" customWidth="1"/>
    <col min="14" max="14" width="17.28515625" bestFit="1" customWidth="1"/>
    <col min="15" max="15" width="16.7109375" bestFit="1" customWidth="1"/>
    <col min="17" max="17" width="16.42578125" bestFit="1" customWidth="1"/>
    <col min="18" max="18" width="23.42578125" bestFit="1" customWidth="1"/>
    <col min="19" max="19" width="15.7109375" bestFit="1" customWidth="1"/>
  </cols>
  <sheetData>
    <row r="1" spans="1:25" x14ac:dyDescent="0.25">
      <c r="A1" s="20" t="s">
        <v>464</v>
      </c>
      <c r="B1" s="21" t="s">
        <v>69</v>
      </c>
      <c r="C1" s="78" t="s">
        <v>70</v>
      </c>
      <c r="D1" s="13" t="s">
        <v>71</v>
      </c>
      <c r="E1" s="13" t="s">
        <v>72</v>
      </c>
      <c r="F1" s="78" t="s">
        <v>73</v>
      </c>
      <c r="G1" s="13" t="s">
        <v>74</v>
      </c>
      <c r="H1" s="14" t="s">
        <v>75</v>
      </c>
      <c r="I1" s="92" t="s">
        <v>3</v>
      </c>
      <c r="J1" s="92" t="s">
        <v>423</v>
      </c>
      <c r="K1" s="14" t="s">
        <v>461</v>
      </c>
      <c r="L1" s="14" t="s">
        <v>458</v>
      </c>
      <c r="M1" s="14" t="s">
        <v>462</v>
      </c>
      <c r="N1" s="14" t="s">
        <v>43</v>
      </c>
      <c r="O1" s="14" t="s">
        <v>459</v>
      </c>
      <c r="P1" s="55"/>
      <c r="Q1" s="14" t="s">
        <v>76</v>
      </c>
      <c r="R1" s="13" t="s">
        <v>77</v>
      </c>
      <c r="S1" s="13" t="s">
        <v>78</v>
      </c>
      <c r="T1" s="14" t="s">
        <v>79</v>
      </c>
      <c r="U1" s="23" t="s">
        <v>19</v>
      </c>
      <c r="V1" s="25"/>
      <c r="W1" s="20"/>
      <c r="X1" s="20"/>
      <c r="Y1" s="20"/>
    </row>
    <row r="2" spans="1:25" x14ac:dyDescent="0.25">
      <c r="A2" s="20">
        <v>1</v>
      </c>
      <c r="B2" s="22">
        <v>46235</v>
      </c>
      <c r="C2" s="80" t="s">
        <v>456</v>
      </c>
      <c r="D2" s="18" t="s">
        <v>494</v>
      </c>
      <c r="E2" s="18"/>
      <c r="F2" s="79" t="s">
        <v>499</v>
      </c>
      <c r="G2" s="18"/>
      <c r="H2" s="116">
        <v>805</v>
      </c>
      <c r="I2" s="93" t="s">
        <v>465</v>
      </c>
      <c r="J2" s="80" t="s">
        <v>432</v>
      </c>
      <c r="K2" s="16"/>
      <c r="L2" s="16">
        <v>25</v>
      </c>
      <c r="M2" s="16">
        <v>25</v>
      </c>
      <c r="N2" s="16"/>
      <c r="O2" s="17">
        <v>25</v>
      </c>
      <c r="P2" s="30"/>
      <c r="Q2" s="31"/>
      <c r="R2" s="32"/>
      <c r="S2" s="32"/>
      <c r="T2" s="30" t="s">
        <v>514</v>
      </c>
      <c r="U2" s="20"/>
      <c r="V2" s="20"/>
      <c r="W2" s="20"/>
    </row>
    <row r="3" spans="1:25" x14ac:dyDescent="0.25">
      <c r="A3" s="20">
        <v>2</v>
      </c>
      <c r="B3" s="36">
        <v>46236</v>
      </c>
      <c r="C3" s="80" t="s">
        <v>437</v>
      </c>
      <c r="D3" s="18" t="s">
        <v>80</v>
      </c>
      <c r="E3" s="18">
        <v>1</v>
      </c>
      <c r="F3" s="80" t="s">
        <v>500</v>
      </c>
      <c r="G3" s="30">
        <v>20671</v>
      </c>
      <c r="H3" s="115">
        <v>807</v>
      </c>
      <c r="I3" s="94" t="s">
        <v>11</v>
      </c>
      <c r="J3" s="94" t="s">
        <v>432</v>
      </c>
      <c r="K3" s="16"/>
      <c r="L3" s="16">
        <v>250</v>
      </c>
      <c r="M3" s="16">
        <v>250</v>
      </c>
      <c r="N3" s="16"/>
      <c r="O3" s="17">
        <v>250</v>
      </c>
      <c r="P3" s="30"/>
      <c r="Q3" s="31"/>
      <c r="R3" s="32"/>
      <c r="S3" s="32"/>
      <c r="T3" s="30" t="s">
        <v>514</v>
      </c>
      <c r="U3" s="20"/>
      <c r="V3" s="20"/>
      <c r="W3" s="20"/>
    </row>
    <row r="4" spans="1:25" x14ac:dyDescent="0.25">
      <c r="A4" s="20">
        <v>3</v>
      </c>
      <c r="B4" s="36">
        <v>46236</v>
      </c>
      <c r="C4" s="80" t="s">
        <v>469</v>
      </c>
      <c r="D4" s="18" t="s">
        <v>80</v>
      </c>
      <c r="E4" s="18">
        <v>1</v>
      </c>
      <c r="F4" s="81" t="s">
        <v>83</v>
      </c>
      <c r="G4" s="30">
        <v>304471</v>
      </c>
      <c r="H4" s="115">
        <v>808</v>
      </c>
      <c r="I4" s="94"/>
      <c r="J4" s="80"/>
      <c r="K4" s="40"/>
      <c r="L4" s="40">
        <v>50</v>
      </c>
      <c r="M4" s="40">
        <v>50</v>
      </c>
      <c r="N4" s="16"/>
      <c r="O4" s="16">
        <v>50</v>
      </c>
      <c r="P4" s="30"/>
      <c r="Q4" s="16"/>
      <c r="R4" s="30"/>
      <c r="S4" s="31"/>
      <c r="T4" s="30" t="s">
        <v>514</v>
      </c>
      <c r="U4" s="32"/>
      <c r="V4" s="25"/>
      <c r="W4" s="20"/>
      <c r="X4" s="20"/>
      <c r="Y4" s="20"/>
    </row>
    <row r="5" spans="1:25" x14ac:dyDescent="0.25">
      <c r="A5" s="20">
        <v>4</v>
      </c>
      <c r="B5" s="36">
        <v>46237</v>
      </c>
      <c r="C5" s="80" t="s">
        <v>469</v>
      </c>
      <c r="D5" s="18" t="s">
        <v>80</v>
      </c>
      <c r="E5" s="18">
        <v>1</v>
      </c>
      <c r="F5" s="81" t="s">
        <v>93</v>
      </c>
      <c r="G5" s="30">
        <v>58155</v>
      </c>
      <c r="H5" s="37">
        <v>813</v>
      </c>
      <c r="I5" s="94" t="s">
        <v>436</v>
      </c>
      <c r="J5" s="80" t="s">
        <v>432</v>
      </c>
      <c r="K5" s="40"/>
      <c r="L5" s="40">
        <v>0</v>
      </c>
      <c r="M5" s="40">
        <v>0</v>
      </c>
      <c r="N5" s="16">
        <v>0</v>
      </c>
      <c r="O5" s="16">
        <v>0</v>
      </c>
      <c r="P5" s="30"/>
      <c r="Q5" s="16"/>
      <c r="R5" s="30"/>
      <c r="S5" s="31"/>
      <c r="T5" s="30" t="s">
        <v>514</v>
      </c>
      <c r="U5" s="32"/>
      <c r="V5" s="25"/>
      <c r="W5" s="20" t="s">
        <v>94</v>
      </c>
      <c r="X5" s="20"/>
      <c r="Y5" s="20"/>
    </row>
    <row r="6" spans="1:25" x14ac:dyDescent="0.25">
      <c r="A6" s="20"/>
      <c r="B6" s="36">
        <v>46237</v>
      </c>
      <c r="C6" s="80" t="s">
        <v>444</v>
      </c>
      <c r="D6" s="18" t="s">
        <v>515</v>
      </c>
      <c r="E6" s="18">
        <v>1</v>
      </c>
      <c r="F6" s="81" t="s">
        <v>87</v>
      </c>
      <c r="G6" s="30">
        <v>469101</v>
      </c>
      <c r="H6" s="37">
        <v>176</v>
      </c>
      <c r="I6" s="94" t="s">
        <v>424</v>
      </c>
      <c r="J6" s="80" t="s">
        <v>446</v>
      </c>
      <c r="K6" s="40">
        <v>0</v>
      </c>
      <c r="L6" s="40">
        <v>25</v>
      </c>
      <c r="M6" s="40">
        <v>25</v>
      </c>
      <c r="N6" s="40">
        <v>0</v>
      </c>
      <c r="O6" s="16">
        <v>25</v>
      </c>
      <c r="P6" s="30"/>
      <c r="Q6" s="16"/>
      <c r="R6" s="30"/>
      <c r="S6" s="31"/>
      <c r="T6" s="30" t="s">
        <v>514</v>
      </c>
      <c r="U6" s="32"/>
      <c r="V6" s="25"/>
      <c r="W6" s="20"/>
      <c r="X6" s="20"/>
      <c r="Y6" s="20"/>
    </row>
    <row r="7" spans="1:25" x14ac:dyDescent="0.25">
      <c r="A7" s="20">
        <v>5</v>
      </c>
      <c r="B7" s="36">
        <v>46237</v>
      </c>
      <c r="C7" s="80" t="s">
        <v>469</v>
      </c>
      <c r="D7" s="18" t="s">
        <v>80</v>
      </c>
      <c r="E7" s="18">
        <v>1</v>
      </c>
      <c r="F7" s="81" t="s">
        <v>83</v>
      </c>
      <c r="G7" s="30">
        <v>165908</v>
      </c>
      <c r="H7" s="37">
        <v>814</v>
      </c>
      <c r="I7" s="94" t="s">
        <v>465</v>
      </c>
      <c r="J7" s="80" t="s">
        <v>432</v>
      </c>
      <c r="K7" s="40"/>
      <c r="L7" s="40">
        <v>0</v>
      </c>
      <c r="M7" s="40">
        <v>0</v>
      </c>
      <c r="N7" s="16">
        <v>0</v>
      </c>
      <c r="O7" s="16">
        <v>0</v>
      </c>
      <c r="P7" s="30"/>
      <c r="Q7" s="16"/>
      <c r="R7" s="30"/>
      <c r="S7" s="31"/>
      <c r="T7" s="30" t="s">
        <v>514</v>
      </c>
      <c r="U7" s="32"/>
      <c r="V7" s="25"/>
      <c r="W7" s="20" t="s">
        <v>94</v>
      </c>
      <c r="X7" s="20"/>
      <c r="Y7" s="20"/>
    </row>
    <row r="8" spans="1:25" x14ac:dyDescent="0.25">
      <c r="A8" s="20">
        <v>6</v>
      </c>
      <c r="B8" s="36">
        <v>46239</v>
      </c>
      <c r="C8" s="80" t="s">
        <v>456</v>
      </c>
      <c r="D8" s="18" t="s">
        <v>494</v>
      </c>
      <c r="E8" s="18"/>
      <c r="F8" s="79" t="s">
        <v>499</v>
      </c>
      <c r="G8" s="30"/>
      <c r="H8" s="37">
        <v>815</v>
      </c>
      <c r="I8" s="94" t="s">
        <v>465</v>
      </c>
      <c r="J8" s="80" t="s">
        <v>432</v>
      </c>
      <c r="K8" s="40">
        <v>0</v>
      </c>
      <c r="L8" s="40">
        <v>25</v>
      </c>
      <c r="M8" s="40">
        <v>25</v>
      </c>
      <c r="N8" s="16"/>
      <c r="O8" s="16">
        <v>25</v>
      </c>
      <c r="P8" s="30"/>
      <c r="Q8" s="16"/>
      <c r="R8" s="30"/>
      <c r="S8" s="31"/>
      <c r="T8" s="30" t="s">
        <v>514</v>
      </c>
      <c r="U8" s="32"/>
      <c r="V8" s="25"/>
      <c r="W8" s="20"/>
      <c r="X8" s="20"/>
      <c r="Y8" s="20"/>
    </row>
    <row r="9" spans="1:25" x14ac:dyDescent="0.25">
      <c r="A9" s="20">
        <v>7</v>
      </c>
      <c r="B9" s="36">
        <v>46240</v>
      </c>
      <c r="C9" s="80" t="s">
        <v>469</v>
      </c>
      <c r="D9" s="18" t="s">
        <v>80</v>
      </c>
      <c r="E9" s="18">
        <v>1</v>
      </c>
      <c r="F9" s="81" t="s">
        <v>483</v>
      </c>
      <c r="G9" s="30" t="s">
        <v>508</v>
      </c>
      <c r="H9" s="37">
        <v>816</v>
      </c>
      <c r="I9" s="94" t="s">
        <v>11</v>
      </c>
      <c r="J9" s="80" t="s">
        <v>432</v>
      </c>
      <c r="K9" s="40">
        <v>0</v>
      </c>
      <c r="L9" s="40">
        <v>2000</v>
      </c>
      <c r="M9" s="40">
        <v>2000</v>
      </c>
      <c r="N9" s="16"/>
      <c r="O9" s="16">
        <v>2000</v>
      </c>
      <c r="P9" s="30"/>
      <c r="Q9" s="16"/>
      <c r="R9" s="30"/>
      <c r="S9" s="31"/>
      <c r="T9" s="30" t="s">
        <v>514</v>
      </c>
      <c r="U9" s="32"/>
      <c r="V9" s="25"/>
      <c r="W9" s="20"/>
      <c r="X9" s="20"/>
      <c r="Y9" s="20"/>
    </row>
    <row r="10" spans="1:25" x14ac:dyDescent="0.25">
      <c r="A10" s="20">
        <v>8</v>
      </c>
      <c r="B10" s="36">
        <v>46240</v>
      </c>
      <c r="C10" s="80" t="s">
        <v>437</v>
      </c>
      <c r="D10" s="18" t="s">
        <v>80</v>
      </c>
      <c r="E10" s="18">
        <v>1</v>
      </c>
      <c r="F10" s="81" t="s">
        <v>509</v>
      </c>
      <c r="G10" s="30">
        <v>37916</v>
      </c>
      <c r="H10" s="37">
        <v>817</v>
      </c>
      <c r="I10" s="94" t="s">
        <v>436</v>
      </c>
      <c r="J10" s="80" t="s">
        <v>432</v>
      </c>
      <c r="K10" s="40"/>
      <c r="L10" s="40">
        <v>250</v>
      </c>
      <c r="M10" s="40">
        <v>250</v>
      </c>
      <c r="N10" s="16"/>
      <c r="O10" s="16">
        <v>250</v>
      </c>
      <c r="P10" s="30"/>
      <c r="Q10" s="16"/>
      <c r="R10" s="30"/>
      <c r="S10" s="31"/>
      <c r="T10" s="30" t="s">
        <v>514</v>
      </c>
      <c r="U10" s="32"/>
      <c r="V10" s="25"/>
      <c r="W10" s="20"/>
      <c r="X10" s="20"/>
      <c r="Y10" s="20"/>
    </row>
    <row r="11" spans="1:25" x14ac:dyDescent="0.25">
      <c r="A11" s="20">
        <v>9</v>
      </c>
      <c r="B11" s="36">
        <v>46240</v>
      </c>
      <c r="C11" s="80" t="s">
        <v>469</v>
      </c>
      <c r="D11" s="18" t="s">
        <v>80</v>
      </c>
      <c r="E11" s="18">
        <v>1</v>
      </c>
      <c r="F11" s="81" t="s">
        <v>83</v>
      </c>
      <c r="G11" s="30">
        <v>307145</v>
      </c>
      <c r="H11" s="37">
        <v>818</v>
      </c>
      <c r="I11" s="94" t="s">
        <v>11</v>
      </c>
      <c r="J11" s="80" t="s">
        <v>432</v>
      </c>
      <c r="K11" s="40"/>
      <c r="L11" s="40">
        <v>100</v>
      </c>
      <c r="M11" s="40">
        <v>100</v>
      </c>
      <c r="N11" s="16"/>
      <c r="O11" s="16">
        <v>100</v>
      </c>
      <c r="P11" s="30"/>
      <c r="Q11" s="16"/>
      <c r="R11" s="30"/>
      <c r="S11" s="31"/>
      <c r="T11" s="30" t="s">
        <v>514</v>
      </c>
      <c r="U11" s="32"/>
      <c r="V11" s="25"/>
      <c r="W11" s="20"/>
      <c r="X11" s="20"/>
      <c r="Y11" s="20"/>
    </row>
    <row r="12" spans="1:25" x14ac:dyDescent="0.25">
      <c r="A12" s="20">
        <v>10</v>
      </c>
      <c r="B12" s="36">
        <v>46240</v>
      </c>
      <c r="C12" s="80" t="s">
        <v>437</v>
      </c>
      <c r="D12" s="18" t="s">
        <v>80</v>
      </c>
      <c r="E12" s="18" t="s">
        <v>510</v>
      </c>
      <c r="F12" s="81" t="s">
        <v>511</v>
      </c>
      <c r="G12" s="30">
        <v>326996</v>
      </c>
      <c r="H12" s="37">
        <v>819</v>
      </c>
      <c r="I12" s="94" t="s">
        <v>11</v>
      </c>
      <c r="J12" s="80" t="s">
        <v>432</v>
      </c>
      <c r="K12" s="40"/>
      <c r="L12" s="40">
        <v>50</v>
      </c>
      <c r="M12" s="40">
        <v>50</v>
      </c>
      <c r="N12" s="16"/>
      <c r="O12" s="16">
        <v>50</v>
      </c>
      <c r="P12" s="30"/>
      <c r="Q12" s="16"/>
      <c r="R12" s="30"/>
      <c r="S12" s="31"/>
      <c r="T12" s="30" t="s">
        <v>514</v>
      </c>
      <c r="U12" s="32"/>
      <c r="V12" s="25"/>
      <c r="W12" s="20"/>
      <c r="X12" s="20"/>
      <c r="Y12" s="20"/>
    </row>
    <row r="13" spans="1:25" x14ac:dyDescent="0.25">
      <c r="A13" s="20">
        <v>11</v>
      </c>
      <c r="B13" s="36">
        <v>46242</v>
      </c>
      <c r="C13" s="80" t="s">
        <v>437</v>
      </c>
      <c r="D13" s="18" t="s">
        <v>80</v>
      </c>
      <c r="E13" s="18">
        <v>1</v>
      </c>
      <c r="F13" s="81" t="s">
        <v>512</v>
      </c>
      <c r="G13" s="30">
        <v>237114</v>
      </c>
      <c r="H13" s="37">
        <v>820</v>
      </c>
      <c r="I13" s="94" t="s">
        <v>436</v>
      </c>
      <c r="J13" s="80" t="s">
        <v>432</v>
      </c>
      <c r="K13" s="40">
        <v>45</v>
      </c>
      <c r="L13" s="40">
        <v>405</v>
      </c>
      <c r="M13" s="40">
        <v>450</v>
      </c>
      <c r="N13" s="16">
        <v>45</v>
      </c>
      <c r="O13" s="16">
        <v>405</v>
      </c>
      <c r="P13" s="30"/>
      <c r="Q13" s="16"/>
      <c r="R13" s="30"/>
      <c r="S13" s="31"/>
      <c r="T13" s="30" t="s">
        <v>514</v>
      </c>
      <c r="U13" s="32"/>
      <c r="V13" s="25"/>
      <c r="W13" s="20"/>
      <c r="X13" s="20"/>
      <c r="Y13" s="20"/>
    </row>
    <row r="14" spans="1:25" x14ac:dyDescent="0.25">
      <c r="A14" s="20">
        <v>12</v>
      </c>
      <c r="B14" s="36">
        <v>46242</v>
      </c>
      <c r="C14" s="80" t="s">
        <v>448</v>
      </c>
      <c r="D14" s="18" t="s">
        <v>80</v>
      </c>
      <c r="E14" s="18">
        <v>1</v>
      </c>
      <c r="F14" s="81" t="s">
        <v>87</v>
      </c>
      <c r="G14" s="30">
        <v>213840</v>
      </c>
      <c r="H14" s="37">
        <v>821</v>
      </c>
      <c r="I14" s="94" t="s">
        <v>436</v>
      </c>
      <c r="J14" s="80" t="s">
        <v>446</v>
      </c>
      <c r="K14" s="40">
        <v>384</v>
      </c>
      <c r="L14" s="40">
        <v>50</v>
      </c>
      <c r="M14" s="40">
        <v>434</v>
      </c>
      <c r="N14" s="16">
        <v>234.78</v>
      </c>
      <c r="O14" s="16">
        <v>199.22</v>
      </c>
      <c r="P14" s="30"/>
      <c r="Q14" s="16">
        <v>149.22</v>
      </c>
      <c r="R14" s="30"/>
      <c r="S14" s="31"/>
      <c r="T14" s="30" t="s">
        <v>514</v>
      </c>
      <c r="U14" s="32"/>
      <c r="V14" s="25"/>
      <c r="W14" s="20"/>
      <c r="X14" s="20"/>
      <c r="Y14" s="20"/>
    </row>
    <row r="15" spans="1:25" x14ac:dyDescent="0.25">
      <c r="A15" s="20">
        <v>13</v>
      </c>
      <c r="B15" s="36">
        <v>46242</v>
      </c>
      <c r="C15" s="80" t="s">
        <v>448</v>
      </c>
      <c r="D15" s="18" t="s">
        <v>84</v>
      </c>
      <c r="E15" s="18">
        <v>1</v>
      </c>
      <c r="F15" s="81" t="s">
        <v>87</v>
      </c>
      <c r="G15" s="30">
        <v>157847</v>
      </c>
      <c r="H15" s="37">
        <v>822</v>
      </c>
      <c r="I15" s="94" t="s">
        <v>436</v>
      </c>
      <c r="J15" s="80" t="s">
        <v>446</v>
      </c>
      <c r="K15" s="40">
        <v>456</v>
      </c>
      <c r="L15" s="40">
        <v>50</v>
      </c>
      <c r="M15" s="40">
        <v>506</v>
      </c>
      <c r="N15" s="16">
        <v>278.8</v>
      </c>
      <c r="O15" s="16">
        <v>227.2</v>
      </c>
      <c r="P15" s="30"/>
      <c r="Q15" s="16">
        <v>177.2</v>
      </c>
      <c r="R15" s="30"/>
      <c r="S15" s="31"/>
      <c r="T15" s="30" t="s">
        <v>514</v>
      </c>
      <c r="U15" s="32"/>
      <c r="V15" s="25"/>
      <c r="W15" s="20"/>
      <c r="X15" s="20"/>
      <c r="Y15" s="20"/>
    </row>
    <row r="16" spans="1:25" x14ac:dyDescent="0.25">
      <c r="A16" s="20">
        <v>14</v>
      </c>
      <c r="B16" s="36">
        <v>46242</v>
      </c>
      <c r="C16" s="80" t="s">
        <v>448</v>
      </c>
      <c r="D16" s="18" t="s">
        <v>84</v>
      </c>
      <c r="E16" s="18">
        <v>1</v>
      </c>
      <c r="F16" s="81" t="s">
        <v>513</v>
      </c>
      <c r="G16" s="30">
        <v>311474</v>
      </c>
      <c r="H16" s="37">
        <v>823</v>
      </c>
      <c r="I16" s="94" t="s">
        <v>436</v>
      </c>
      <c r="J16" s="80" t="s">
        <v>431</v>
      </c>
      <c r="K16" s="40">
        <v>456</v>
      </c>
      <c r="L16" s="40">
        <v>50</v>
      </c>
      <c r="M16" s="40">
        <v>506</v>
      </c>
      <c r="N16" s="16">
        <v>278.8</v>
      </c>
      <c r="O16" s="16">
        <v>227.2</v>
      </c>
      <c r="P16" s="30"/>
      <c r="Q16" s="16">
        <v>177.2</v>
      </c>
      <c r="R16" s="30"/>
      <c r="S16" s="31"/>
      <c r="T16" s="30" t="s">
        <v>514</v>
      </c>
      <c r="U16" s="32"/>
      <c r="V16" s="25"/>
      <c r="W16" s="20"/>
      <c r="X16" s="20"/>
      <c r="Y16" s="20"/>
    </row>
    <row r="17" spans="1:25" x14ac:dyDescent="0.25">
      <c r="A17" s="20">
        <v>15</v>
      </c>
      <c r="B17" s="36">
        <v>46243</v>
      </c>
      <c r="C17" s="80" t="s">
        <v>486</v>
      </c>
      <c r="D17" s="18" t="s">
        <v>516</v>
      </c>
      <c r="E17" s="18">
        <v>1</v>
      </c>
      <c r="F17" s="81" t="s">
        <v>517</v>
      </c>
      <c r="G17" s="30">
        <v>240539</v>
      </c>
      <c r="H17" s="37">
        <v>177</v>
      </c>
      <c r="I17" s="94" t="s">
        <v>17</v>
      </c>
      <c r="J17" s="80" t="s">
        <v>431</v>
      </c>
      <c r="K17" s="40">
        <v>100</v>
      </c>
      <c r="L17" s="40">
        <v>200</v>
      </c>
      <c r="M17" s="40">
        <v>300</v>
      </c>
      <c r="N17" s="16">
        <v>100</v>
      </c>
      <c r="O17" s="16">
        <v>200</v>
      </c>
      <c r="P17" s="30"/>
      <c r="Q17" s="16"/>
      <c r="R17" s="30"/>
      <c r="S17" s="31"/>
      <c r="T17" s="30" t="s">
        <v>421</v>
      </c>
      <c r="U17" s="32"/>
      <c r="V17" s="25"/>
      <c r="W17" s="20"/>
      <c r="X17" s="20"/>
      <c r="Y17" s="20"/>
    </row>
    <row r="18" spans="1:25" x14ac:dyDescent="0.25">
      <c r="A18" s="20">
        <v>16</v>
      </c>
      <c r="B18" s="36">
        <v>46243</v>
      </c>
      <c r="C18" s="80" t="s">
        <v>444</v>
      </c>
      <c r="D18" s="18" t="s">
        <v>518</v>
      </c>
      <c r="E18" s="18">
        <v>1</v>
      </c>
      <c r="F18" s="81" t="s">
        <v>548</v>
      </c>
      <c r="G18" s="30">
        <v>640998</v>
      </c>
      <c r="H18" s="37">
        <v>178</v>
      </c>
      <c r="I18" s="94" t="s">
        <v>424</v>
      </c>
      <c r="J18" s="80" t="s">
        <v>431</v>
      </c>
      <c r="K18" s="40">
        <v>200</v>
      </c>
      <c r="L18" s="40">
        <v>100</v>
      </c>
      <c r="M18" s="40">
        <v>300</v>
      </c>
      <c r="N18" s="16">
        <v>200</v>
      </c>
      <c r="O18" s="16">
        <v>100</v>
      </c>
      <c r="P18" s="30"/>
      <c r="Q18" s="16"/>
      <c r="R18" s="30"/>
      <c r="S18" s="31"/>
      <c r="T18" s="30" t="s">
        <v>514</v>
      </c>
      <c r="U18" s="32"/>
      <c r="V18" s="25"/>
      <c r="W18" s="20"/>
      <c r="X18" s="20"/>
      <c r="Y18" s="20"/>
    </row>
    <row r="19" spans="1:25" x14ac:dyDescent="0.25">
      <c r="A19" s="20">
        <v>17</v>
      </c>
      <c r="B19" s="36">
        <v>46243</v>
      </c>
      <c r="C19" s="80" t="s">
        <v>448</v>
      </c>
      <c r="D19" s="18" t="s">
        <v>80</v>
      </c>
      <c r="E19" s="18">
        <v>1</v>
      </c>
      <c r="F19" s="81" t="s">
        <v>87</v>
      </c>
      <c r="G19" s="30">
        <v>304451</v>
      </c>
      <c r="H19" s="37">
        <v>824</v>
      </c>
      <c r="I19" s="94" t="s">
        <v>436</v>
      </c>
      <c r="J19" s="80" t="s">
        <v>446</v>
      </c>
      <c r="K19" s="40">
        <v>484</v>
      </c>
      <c r="L19" s="40">
        <v>50</v>
      </c>
      <c r="M19" s="40">
        <v>534</v>
      </c>
      <c r="N19" s="16">
        <v>299.56</v>
      </c>
      <c r="O19" s="16">
        <v>234.44</v>
      </c>
      <c r="P19" s="30"/>
      <c r="Q19" s="16">
        <v>184.44</v>
      </c>
      <c r="R19" s="30"/>
      <c r="S19" s="31"/>
      <c r="T19" s="30" t="s">
        <v>514</v>
      </c>
      <c r="U19" s="32"/>
      <c r="V19" s="25"/>
      <c r="W19" s="20"/>
      <c r="X19" s="20"/>
      <c r="Y19" s="20"/>
    </row>
    <row r="20" spans="1:25" x14ac:dyDescent="0.25">
      <c r="A20" s="20">
        <v>18</v>
      </c>
      <c r="B20" s="36">
        <v>46243</v>
      </c>
      <c r="C20" s="80" t="s">
        <v>444</v>
      </c>
      <c r="D20" s="18" t="s">
        <v>519</v>
      </c>
      <c r="E20" s="18">
        <v>1</v>
      </c>
      <c r="F20" s="81" t="s">
        <v>520</v>
      </c>
      <c r="G20" s="30">
        <v>109743</v>
      </c>
      <c r="H20" s="37">
        <v>179</v>
      </c>
      <c r="I20" s="94" t="s">
        <v>424</v>
      </c>
      <c r="J20" s="80" t="s">
        <v>431</v>
      </c>
      <c r="K20" s="40">
        <v>105</v>
      </c>
      <c r="L20" s="40">
        <v>25</v>
      </c>
      <c r="M20" s="40">
        <v>130</v>
      </c>
      <c r="N20" s="16">
        <v>105</v>
      </c>
      <c r="O20" s="16">
        <v>25</v>
      </c>
      <c r="P20" s="30"/>
      <c r="Q20" s="16"/>
      <c r="R20" s="30"/>
      <c r="S20" s="31"/>
      <c r="T20" s="32" t="s">
        <v>514</v>
      </c>
      <c r="U20" s="32"/>
      <c r="V20" s="25"/>
      <c r="W20" s="20"/>
      <c r="X20" s="20"/>
      <c r="Y20" s="20"/>
    </row>
    <row r="21" spans="1:25" x14ac:dyDescent="0.25">
      <c r="A21" s="20">
        <v>19</v>
      </c>
      <c r="B21" s="36">
        <v>46243</v>
      </c>
      <c r="C21" s="80" t="s">
        <v>444</v>
      </c>
      <c r="D21" s="18" t="s">
        <v>521</v>
      </c>
      <c r="E21" s="18">
        <v>1</v>
      </c>
      <c r="F21" s="81" t="s">
        <v>544</v>
      </c>
      <c r="G21" s="30">
        <v>175273</v>
      </c>
      <c r="H21" s="37">
        <v>180</v>
      </c>
      <c r="I21" s="94" t="s">
        <v>424</v>
      </c>
      <c r="J21" s="80" t="s">
        <v>431</v>
      </c>
      <c r="K21" s="40">
        <v>1360</v>
      </c>
      <c r="L21" s="40">
        <v>500</v>
      </c>
      <c r="M21" s="40">
        <v>1860</v>
      </c>
      <c r="N21" s="16">
        <v>1360</v>
      </c>
      <c r="O21" s="16">
        <v>500</v>
      </c>
      <c r="P21" s="30"/>
      <c r="Q21" s="16"/>
      <c r="R21" s="30"/>
      <c r="S21" s="31"/>
      <c r="T21" s="30" t="s">
        <v>514</v>
      </c>
      <c r="U21" s="32"/>
      <c r="V21" s="25"/>
      <c r="W21" s="20"/>
      <c r="X21" s="20"/>
      <c r="Y21" s="20"/>
    </row>
    <row r="22" spans="1:25" x14ac:dyDescent="0.25">
      <c r="A22" s="20">
        <v>20</v>
      </c>
      <c r="B22" s="36">
        <v>46243</v>
      </c>
      <c r="C22" s="80" t="s">
        <v>448</v>
      </c>
      <c r="D22" s="18" t="s">
        <v>86</v>
      </c>
      <c r="E22" s="18">
        <v>1</v>
      </c>
      <c r="F22" s="81" t="s">
        <v>87</v>
      </c>
      <c r="G22" s="30">
        <v>69753</v>
      </c>
      <c r="H22" s="37">
        <v>825</v>
      </c>
      <c r="I22" s="94" t="s">
        <v>436</v>
      </c>
      <c r="J22" s="80" t="s">
        <v>446</v>
      </c>
      <c r="K22" s="40">
        <v>216</v>
      </c>
      <c r="L22" s="40">
        <v>150</v>
      </c>
      <c r="M22" s="40">
        <v>366</v>
      </c>
      <c r="N22" s="16">
        <v>132.06</v>
      </c>
      <c r="O22" s="16">
        <v>233.94</v>
      </c>
      <c r="P22" s="30"/>
      <c r="Q22" s="16">
        <v>83.94</v>
      </c>
      <c r="R22" s="30"/>
      <c r="S22" s="31"/>
      <c r="T22" s="30" t="s">
        <v>514</v>
      </c>
      <c r="U22" s="32"/>
      <c r="V22" s="25"/>
      <c r="W22" s="20"/>
      <c r="X22" s="20"/>
      <c r="Y22" s="20"/>
    </row>
    <row r="23" spans="1:25" x14ac:dyDescent="0.25">
      <c r="A23" s="20">
        <v>21</v>
      </c>
      <c r="B23" s="36">
        <v>46244</v>
      </c>
      <c r="C23" s="80" t="s">
        <v>444</v>
      </c>
      <c r="D23" s="18" t="s">
        <v>490</v>
      </c>
      <c r="E23" s="18">
        <v>1</v>
      </c>
      <c r="F23" s="81" t="s">
        <v>522</v>
      </c>
      <c r="G23" s="30">
        <v>593410</v>
      </c>
      <c r="H23" s="37">
        <v>181</v>
      </c>
      <c r="I23" s="94" t="s">
        <v>17</v>
      </c>
      <c r="J23" s="80" t="s">
        <v>431</v>
      </c>
      <c r="K23" s="40">
        <v>180</v>
      </c>
      <c r="L23" s="40">
        <v>50</v>
      </c>
      <c r="M23" s="40">
        <v>230</v>
      </c>
      <c r="N23" s="16">
        <v>180</v>
      </c>
      <c r="O23" s="16">
        <v>50</v>
      </c>
      <c r="P23" s="30"/>
      <c r="Q23" s="16"/>
      <c r="R23" s="30"/>
      <c r="S23" s="31"/>
      <c r="T23" s="30" t="s">
        <v>514</v>
      </c>
      <c r="U23" s="32"/>
      <c r="V23" s="25"/>
      <c r="W23" s="20"/>
      <c r="X23" s="20"/>
      <c r="Y23" s="20"/>
    </row>
    <row r="24" spans="1:25" x14ac:dyDescent="0.25">
      <c r="A24" s="20">
        <v>22</v>
      </c>
      <c r="B24" s="36">
        <v>46244</v>
      </c>
      <c r="C24" s="80" t="s">
        <v>444</v>
      </c>
      <c r="D24" s="18" t="s">
        <v>518</v>
      </c>
      <c r="E24" s="18">
        <v>1</v>
      </c>
      <c r="F24" s="81" t="s">
        <v>523</v>
      </c>
      <c r="G24" s="30">
        <v>885767</v>
      </c>
      <c r="H24" s="37">
        <v>182</v>
      </c>
      <c r="I24" s="94" t="s">
        <v>424</v>
      </c>
      <c r="J24" s="80" t="s">
        <v>431</v>
      </c>
      <c r="K24" s="40">
        <v>590</v>
      </c>
      <c r="L24" s="40">
        <v>300</v>
      </c>
      <c r="M24" s="40">
        <v>890</v>
      </c>
      <c r="N24" s="16">
        <v>590</v>
      </c>
      <c r="O24" s="16">
        <v>300</v>
      </c>
      <c r="P24" s="30"/>
      <c r="Q24" s="16"/>
      <c r="R24" s="30"/>
      <c r="S24" s="31"/>
      <c r="T24" s="30" t="s">
        <v>514</v>
      </c>
      <c r="U24" s="32"/>
      <c r="V24" s="25"/>
      <c r="W24" s="20"/>
      <c r="X24" s="20"/>
      <c r="Y24" s="20"/>
    </row>
    <row r="25" spans="1:25" x14ac:dyDescent="0.25">
      <c r="A25" s="20">
        <v>23</v>
      </c>
      <c r="B25" s="36"/>
      <c r="C25" s="80"/>
      <c r="D25" s="18"/>
      <c r="E25" s="18"/>
      <c r="F25" s="81"/>
      <c r="G25" s="30"/>
      <c r="H25" s="37">
        <v>183</v>
      </c>
      <c r="I25" s="94"/>
      <c r="J25" s="80"/>
      <c r="K25" s="40"/>
      <c r="L25" s="40"/>
      <c r="M25" s="40"/>
      <c r="N25" s="16"/>
      <c r="O25" s="16"/>
      <c r="P25" s="30"/>
      <c r="Q25" s="16"/>
      <c r="R25" s="30"/>
      <c r="S25" s="31"/>
      <c r="T25" s="30" t="s">
        <v>421</v>
      </c>
      <c r="U25" s="32"/>
      <c r="V25" s="25"/>
      <c r="W25" s="20"/>
      <c r="X25" s="20"/>
      <c r="Y25" s="20"/>
    </row>
    <row r="26" spans="1:25" x14ac:dyDescent="0.25">
      <c r="A26" s="20">
        <v>24</v>
      </c>
      <c r="B26" s="36">
        <v>46245</v>
      </c>
      <c r="C26" s="80" t="s">
        <v>469</v>
      </c>
      <c r="D26" s="18" t="s">
        <v>80</v>
      </c>
      <c r="E26" s="18">
        <v>1</v>
      </c>
      <c r="F26" s="81" t="s">
        <v>93</v>
      </c>
      <c r="G26" s="30">
        <v>326766</v>
      </c>
      <c r="H26" s="37">
        <v>826</v>
      </c>
      <c r="I26" s="94" t="s">
        <v>11</v>
      </c>
      <c r="J26" s="80" t="s">
        <v>432</v>
      </c>
      <c r="K26" s="40"/>
      <c r="L26" s="40">
        <v>150</v>
      </c>
      <c r="M26" s="40">
        <v>150</v>
      </c>
      <c r="N26" s="16"/>
      <c r="O26" s="16">
        <v>150</v>
      </c>
      <c r="P26" s="30"/>
      <c r="Q26" s="16"/>
      <c r="R26" s="30"/>
      <c r="S26" s="31"/>
      <c r="T26" s="30" t="s">
        <v>514</v>
      </c>
      <c r="U26" s="32"/>
      <c r="V26" s="25"/>
      <c r="W26" s="20"/>
      <c r="X26" s="20"/>
      <c r="Y26" s="20"/>
    </row>
    <row r="27" spans="1:25" x14ac:dyDescent="0.25">
      <c r="A27" s="20">
        <v>25</v>
      </c>
      <c r="B27" s="36">
        <v>46245</v>
      </c>
      <c r="C27" s="80" t="s">
        <v>444</v>
      </c>
      <c r="D27" s="18" t="s">
        <v>524</v>
      </c>
      <c r="E27" s="18">
        <v>1</v>
      </c>
      <c r="F27" s="81" t="s">
        <v>525</v>
      </c>
      <c r="G27" s="30">
        <v>116076</v>
      </c>
      <c r="H27" s="37">
        <v>184</v>
      </c>
      <c r="I27" s="94" t="s">
        <v>11</v>
      </c>
      <c r="J27" s="80" t="s">
        <v>431</v>
      </c>
      <c r="K27" s="40">
        <v>110</v>
      </c>
      <c r="L27" s="40">
        <v>30</v>
      </c>
      <c r="M27" s="40">
        <v>140</v>
      </c>
      <c r="N27" s="16">
        <v>110</v>
      </c>
      <c r="O27" s="16">
        <v>30</v>
      </c>
      <c r="P27" s="30"/>
      <c r="Q27" s="16"/>
      <c r="R27" s="30"/>
      <c r="S27" s="31"/>
      <c r="T27" s="30" t="s">
        <v>514</v>
      </c>
      <c r="U27" s="32"/>
      <c r="V27" s="25"/>
      <c r="W27" s="20"/>
      <c r="X27" s="20"/>
      <c r="Y27" s="20"/>
    </row>
    <row r="28" spans="1:25" x14ac:dyDescent="0.25">
      <c r="A28" s="20">
        <v>26</v>
      </c>
      <c r="B28" s="36">
        <v>46245</v>
      </c>
      <c r="C28" s="80" t="s">
        <v>444</v>
      </c>
      <c r="D28" s="18" t="s">
        <v>526</v>
      </c>
      <c r="E28" s="18">
        <v>1</v>
      </c>
      <c r="F28" s="81" t="s">
        <v>87</v>
      </c>
      <c r="G28" s="30">
        <v>155826</v>
      </c>
      <c r="H28" s="37">
        <v>185</v>
      </c>
      <c r="I28" s="94" t="s">
        <v>13</v>
      </c>
      <c r="J28" s="80" t="s">
        <v>446</v>
      </c>
      <c r="K28" s="40">
        <v>84</v>
      </c>
      <c r="L28" s="40">
        <v>25</v>
      </c>
      <c r="M28" s="40">
        <v>109</v>
      </c>
      <c r="N28" s="16">
        <v>51.36</v>
      </c>
      <c r="O28" s="16">
        <v>57.65</v>
      </c>
      <c r="P28" s="30"/>
      <c r="Q28" s="16">
        <v>32.64</v>
      </c>
      <c r="R28" s="30"/>
      <c r="S28" s="31"/>
      <c r="T28" s="30" t="s">
        <v>514</v>
      </c>
      <c r="U28" s="32"/>
      <c r="V28" s="25"/>
      <c r="W28" s="20"/>
      <c r="X28" s="20"/>
      <c r="Y28" s="20"/>
    </row>
    <row r="29" spans="1:25" x14ac:dyDescent="0.25">
      <c r="A29" s="20">
        <v>27</v>
      </c>
      <c r="B29" s="70">
        <v>46245</v>
      </c>
      <c r="C29" s="80" t="s">
        <v>448</v>
      </c>
      <c r="D29" s="18" t="s">
        <v>86</v>
      </c>
      <c r="E29" s="18">
        <v>1</v>
      </c>
      <c r="F29" s="81" t="s">
        <v>87</v>
      </c>
      <c r="G29" s="30">
        <v>74968</v>
      </c>
      <c r="H29" s="37">
        <v>827</v>
      </c>
      <c r="I29" s="94" t="s">
        <v>465</v>
      </c>
      <c r="J29" s="80" t="s">
        <v>446</v>
      </c>
      <c r="K29" s="40">
        <v>204</v>
      </c>
      <c r="L29" s="40">
        <v>100</v>
      </c>
      <c r="M29" s="40">
        <v>304</v>
      </c>
      <c r="N29" s="16">
        <v>124.76</v>
      </c>
      <c r="O29" s="16">
        <v>179.27</v>
      </c>
      <c r="P29" s="30"/>
      <c r="Q29" s="16">
        <v>79.27</v>
      </c>
      <c r="R29" s="30"/>
      <c r="S29" s="31"/>
      <c r="T29" s="30" t="s">
        <v>514</v>
      </c>
      <c r="U29" s="32"/>
      <c r="V29" s="25"/>
      <c r="W29" s="20"/>
      <c r="X29" s="20"/>
      <c r="Y29" s="20"/>
    </row>
    <row r="30" spans="1:25" x14ac:dyDescent="0.25">
      <c r="A30" s="20">
        <v>28</v>
      </c>
      <c r="B30" s="117">
        <v>46247</v>
      </c>
      <c r="C30" s="80" t="s">
        <v>456</v>
      </c>
      <c r="D30" s="18" t="s">
        <v>494</v>
      </c>
      <c r="E30" s="18">
        <v>1</v>
      </c>
      <c r="F30" s="81" t="s">
        <v>527</v>
      </c>
      <c r="G30" s="30"/>
      <c r="H30" s="118">
        <v>828</v>
      </c>
      <c r="I30" s="119" t="s">
        <v>465</v>
      </c>
      <c r="J30" s="80" t="s">
        <v>432</v>
      </c>
      <c r="K30" s="40">
        <v>0</v>
      </c>
      <c r="L30" s="40">
        <v>50</v>
      </c>
      <c r="M30" s="120">
        <v>50</v>
      </c>
      <c r="N30" s="121">
        <v>0</v>
      </c>
      <c r="O30" s="121">
        <v>50</v>
      </c>
      <c r="P30" s="122"/>
      <c r="Q30" s="121"/>
      <c r="R30" s="122"/>
      <c r="S30" s="31"/>
      <c r="T30" s="32" t="s">
        <v>514</v>
      </c>
      <c r="U30" s="32"/>
      <c r="V30" s="25"/>
      <c r="W30" s="20"/>
      <c r="X30" s="20"/>
      <c r="Y30" s="20"/>
    </row>
    <row r="31" spans="1:25" x14ac:dyDescent="0.25">
      <c r="A31" s="20">
        <v>29</v>
      </c>
      <c r="B31" s="117">
        <v>46249</v>
      </c>
      <c r="C31" s="80" t="s">
        <v>469</v>
      </c>
      <c r="D31" s="18" t="s">
        <v>80</v>
      </c>
      <c r="E31" s="18">
        <v>1</v>
      </c>
      <c r="F31" s="81" t="s">
        <v>528</v>
      </c>
      <c r="G31" s="30">
        <v>314039</v>
      </c>
      <c r="H31" s="118">
        <v>829</v>
      </c>
      <c r="I31" s="119" t="s">
        <v>436</v>
      </c>
      <c r="J31" s="80" t="s">
        <v>432</v>
      </c>
      <c r="K31" s="40">
        <v>0</v>
      </c>
      <c r="L31" s="40">
        <v>0</v>
      </c>
      <c r="M31" s="120">
        <v>0</v>
      </c>
      <c r="N31" s="121">
        <v>0</v>
      </c>
      <c r="O31" s="121">
        <v>0</v>
      </c>
      <c r="P31" s="122"/>
      <c r="Q31" s="121"/>
      <c r="R31" s="122"/>
      <c r="S31" s="31"/>
      <c r="T31" s="32" t="s">
        <v>514</v>
      </c>
      <c r="U31" s="32"/>
      <c r="V31" s="25"/>
      <c r="W31" s="20" t="s">
        <v>94</v>
      </c>
      <c r="X31" s="20"/>
      <c r="Y31" s="20"/>
    </row>
    <row r="32" spans="1:25" x14ac:dyDescent="0.25">
      <c r="A32" s="20">
        <v>30</v>
      </c>
      <c r="B32" s="117">
        <v>46249</v>
      </c>
      <c r="C32" s="80" t="s">
        <v>448</v>
      </c>
      <c r="D32" s="18" t="s">
        <v>86</v>
      </c>
      <c r="E32" s="18">
        <v>1</v>
      </c>
      <c r="F32" s="81" t="s">
        <v>87</v>
      </c>
      <c r="G32" s="125">
        <v>69753</v>
      </c>
      <c r="H32" s="118">
        <v>830</v>
      </c>
      <c r="I32" s="119" t="s">
        <v>436</v>
      </c>
      <c r="J32" s="80" t="s">
        <v>432</v>
      </c>
      <c r="K32" s="40">
        <v>50</v>
      </c>
      <c r="L32" s="40">
        <v>100</v>
      </c>
      <c r="M32" s="120">
        <v>150</v>
      </c>
      <c r="N32" s="121">
        <v>50</v>
      </c>
      <c r="O32" s="121">
        <v>100</v>
      </c>
      <c r="P32" s="122"/>
      <c r="Q32" s="121"/>
      <c r="R32" s="122"/>
      <c r="S32" s="31"/>
      <c r="T32" s="32" t="s">
        <v>514</v>
      </c>
      <c r="U32" s="32"/>
      <c r="V32" s="25"/>
      <c r="W32" s="20"/>
      <c r="X32" s="20"/>
      <c r="Y32" s="20"/>
    </row>
    <row r="33" spans="1:25" x14ac:dyDescent="0.25">
      <c r="A33" s="20">
        <v>31</v>
      </c>
      <c r="B33" s="117">
        <v>46249</v>
      </c>
      <c r="C33" s="80" t="s">
        <v>448</v>
      </c>
      <c r="D33" s="18" t="s">
        <v>84</v>
      </c>
      <c r="E33" s="18">
        <v>1</v>
      </c>
      <c r="F33" s="81" t="s">
        <v>477</v>
      </c>
      <c r="G33" s="30">
        <v>77412</v>
      </c>
      <c r="H33" s="118">
        <v>831</v>
      </c>
      <c r="I33" s="119" t="s">
        <v>436</v>
      </c>
      <c r="J33" s="80" t="s">
        <v>446</v>
      </c>
      <c r="K33" s="40">
        <v>0</v>
      </c>
      <c r="L33" s="40">
        <v>50</v>
      </c>
      <c r="M33" s="120">
        <v>50</v>
      </c>
      <c r="N33" s="121">
        <v>0</v>
      </c>
      <c r="O33" s="121">
        <v>50</v>
      </c>
      <c r="P33" s="122"/>
      <c r="Q33" s="121"/>
      <c r="R33" s="122"/>
      <c r="S33" s="31"/>
      <c r="T33" s="32" t="s">
        <v>514</v>
      </c>
      <c r="U33" s="32"/>
      <c r="V33" s="25"/>
      <c r="W33" s="20"/>
      <c r="X33" s="20"/>
      <c r="Y33" s="20"/>
    </row>
    <row r="34" spans="1:25" x14ac:dyDescent="0.25">
      <c r="A34" s="20">
        <v>32</v>
      </c>
      <c r="B34" s="117">
        <v>46249</v>
      </c>
      <c r="C34" s="80" t="s">
        <v>448</v>
      </c>
      <c r="D34" s="18" t="s">
        <v>80</v>
      </c>
      <c r="E34" s="18">
        <v>1</v>
      </c>
      <c r="F34" s="81" t="s">
        <v>87</v>
      </c>
      <c r="G34" s="30">
        <v>338210</v>
      </c>
      <c r="H34" s="118">
        <v>832</v>
      </c>
      <c r="I34" s="119" t="s">
        <v>436</v>
      </c>
      <c r="J34" s="80" t="s">
        <v>446</v>
      </c>
      <c r="K34" s="40">
        <v>0</v>
      </c>
      <c r="L34" s="40">
        <v>50</v>
      </c>
      <c r="M34" s="120">
        <v>50</v>
      </c>
      <c r="N34" s="121">
        <v>0</v>
      </c>
      <c r="O34" s="121">
        <v>50</v>
      </c>
      <c r="P34" s="122"/>
      <c r="Q34" s="121"/>
      <c r="R34" s="122"/>
      <c r="S34" s="31"/>
      <c r="T34" s="32" t="s">
        <v>514</v>
      </c>
      <c r="U34" s="32"/>
      <c r="V34" s="25"/>
      <c r="W34" s="20"/>
      <c r="X34" s="20"/>
      <c r="Y34" s="20"/>
    </row>
    <row r="35" spans="1:25" x14ac:dyDescent="0.25">
      <c r="A35" s="20">
        <v>33</v>
      </c>
      <c r="B35" s="117">
        <v>46249</v>
      </c>
      <c r="C35" s="80" t="s">
        <v>444</v>
      </c>
      <c r="D35" s="18" t="s">
        <v>530</v>
      </c>
      <c r="E35" s="18">
        <v>1</v>
      </c>
      <c r="F35" s="81" t="s">
        <v>531</v>
      </c>
      <c r="G35" s="30">
        <v>655094</v>
      </c>
      <c r="H35" s="118">
        <v>186</v>
      </c>
      <c r="I35" s="119" t="s">
        <v>424</v>
      </c>
      <c r="J35" s="80" t="s">
        <v>431</v>
      </c>
      <c r="K35" s="40">
        <v>0</v>
      </c>
      <c r="L35" s="40">
        <v>300</v>
      </c>
      <c r="M35" s="120">
        <v>300</v>
      </c>
      <c r="N35" s="121"/>
      <c r="O35" s="121">
        <v>300</v>
      </c>
      <c r="P35" s="122"/>
      <c r="Q35" s="121"/>
      <c r="R35" s="122"/>
      <c r="S35" s="31"/>
      <c r="T35" s="32" t="s">
        <v>514</v>
      </c>
      <c r="U35" s="32"/>
      <c r="V35" s="25"/>
      <c r="W35" s="20"/>
      <c r="X35" s="20"/>
      <c r="Y35" s="20"/>
    </row>
    <row r="36" spans="1:25" x14ac:dyDescent="0.25">
      <c r="A36" s="20">
        <v>34</v>
      </c>
      <c r="B36" s="117">
        <v>46250</v>
      </c>
      <c r="C36" s="80" t="s">
        <v>448</v>
      </c>
      <c r="D36" s="18" t="s">
        <v>502</v>
      </c>
      <c r="E36" s="18">
        <v>1</v>
      </c>
      <c r="F36" s="81" t="s">
        <v>529</v>
      </c>
      <c r="G36" s="30">
        <v>14937</v>
      </c>
      <c r="H36" s="118">
        <v>833</v>
      </c>
      <c r="I36" s="119" t="s">
        <v>436</v>
      </c>
      <c r="J36" s="80" t="s">
        <v>431</v>
      </c>
      <c r="K36" s="40">
        <v>208</v>
      </c>
      <c r="L36" s="40">
        <v>50</v>
      </c>
      <c r="M36" s="120">
        <v>258</v>
      </c>
      <c r="N36" s="121">
        <v>142.72</v>
      </c>
      <c r="O36" s="121">
        <v>115.28</v>
      </c>
      <c r="P36" s="122"/>
      <c r="Q36" s="121">
        <v>65.28</v>
      </c>
      <c r="R36" s="122"/>
      <c r="S36" s="31"/>
      <c r="T36" s="32" t="s">
        <v>514</v>
      </c>
      <c r="U36" s="32"/>
      <c r="V36" s="25"/>
      <c r="W36" s="20"/>
      <c r="X36" s="20"/>
      <c r="Y36" s="20"/>
    </row>
    <row r="37" spans="1:25" x14ac:dyDescent="0.25">
      <c r="A37" s="20">
        <v>35</v>
      </c>
      <c r="B37" s="117">
        <v>46250</v>
      </c>
      <c r="C37" s="80" t="s">
        <v>469</v>
      </c>
      <c r="D37" s="18" t="s">
        <v>80</v>
      </c>
      <c r="E37" s="18">
        <v>1</v>
      </c>
      <c r="F37" s="81" t="s">
        <v>83</v>
      </c>
      <c r="G37" s="30">
        <v>166725</v>
      </c>
      <c r="H37" s="118">
        <v>834</v>
      </c>
      <c r="I37" s="119" t="s">
        <v>436</v>
      </c>
      <c r="J37" s="80" t="s">
        <v>432</v>
      </c>
      <c r="K37" s="40">
        <v>0</v>
      </c>
      <c r="L37" s="40">
        <v>0</v>
      </c>
      <c r="M37" s="120">
        <v>0</v>
      </c>
      <c r="N37" s="121">
        <v>0</v>
      </c>
      <c r="O37" s="121">
        <v>0</v>
      </c>
      <c r="P37" s="122"/>
      <c r="Q37" s="121"/>
      <c r="R37" s="122"/>
      <c r="S37" s="31"/>
      <c r="T37" s="32"/>
      <c r="U37" s="32"/>
      <c r="V37" s="25"/>
      <c r="W37" s="20" t="s">
        <v>94</v>
      </c>
      <c r="X37" s="20"/>
      <c r="Y37" s="20"/>
    </row>
    <row r="38" spans="1:25" x14ac:dyDescent="0.25">
      <c r="A38" s="20">
        <v>36</v>
      </c>
      <c r="B38" s="117">
        <v>46251</v>
      </c>
      <c r="C38" s="80" t="s">
        <v>456</v>
      </c>
      <c r="D38" s="18" t="s">
        <v>494</v>
      </c>
      <c r="E38" s="18">
        <v>1</v>
      </c>
      <c r="F38" s="81" t="s">
        <v>527</v>
      </c>
      <c r="G38" s="30"/>
      <c r="H38" s="118">
        <v>835</v>
      </c>
      <c r="I38" s="119" t="s">
        <v>465</v>
      </c>
      <c r="J38" s="80" t="s">
        <v>432</v>
      </c>
      <c r="K38" s="40">
        <v>0</v>
      </c>
      <c r="L38" s="40">
        <v>25</v>
      </c>
      <c r="M38" s="120">
        <v>25</v>
      </c>
      <c r="N38" s="121">
        <v>0</v>
      </c>
      <c r="O38" s="121">
        <v>25</v>
      </c>
      <c r="P38" s="122"/>
      <c r="Q38" s="121"/>
      <c r="R38" s="122"/>
      <c r="S38" s="31"/>
      <c r="T38" s="32" t="s">
        <v>514</v>
      </c>
      <c r="U38" s="32"/>
      <c r="V38" s="25"/>
      <c r="W38" s="20"/>
      <c r="X38" s="20"/>
      <c r="Y38" s="20"/>
    </row>
    <row r="39" spans="1:25" x14ac:dyDescent="0.25">
      <c r="A39" s="20">
        <v>37</v>
      </c>
      <c r="B39" s="117">
        <v>46251</v>
      </c>
      <c r="C39" s="80" t="s">
        <v>444</v>
      </c>
      <c r="D39" s="18" t="s">
        <v>532</v>
      </c>
      <c r="E39" s="18">
        <v>1</v>
      </c>
      <c r="F39" s="81" t="s">
        <v>533</v>
      </c>
      <c r="G39" s="30">
        <v>103072</v>
      </c>
      <c r="H39" s="118">
        <v>187</v>
      </c>
      <c r="I39" s="119" t="s">
        <v>424</v>
      </c>
      <c r="J39" s="80" t="s">
        <v>431</v>
      </c>
      <c r="K39" s="40">
        <v>780</v>
      </c>
      <c r="L39" s="40">
        <v>500</v>
      </c>
      <c r="M39" s="120">
        <v>1280</v>
      </c>
      <c r="N39" s="121">
        <v>780</v>
      </c>
      <c r="O39" s="121">
        <v>500</v>
      </c>
      <c r="P39" s="122"/>
      <c r="Q39" s="121"/>
      <c r="R39" s="122"/>
      <c r="S39" s="31"/>
      <c r="T39" s="32" t="s">
        <v>514</v>
      </c>
      <c r="U39" s="32"/>
      <c r="V39" s="25"/>
      <c r="W39" s="20"/>
      <c r="X39" s="20"/>
      <c r="Y39" s="20"/>
    </row>
    <row r="40" spans="1:25" x14ac:dyDescent="0.25">
      <c r="A40" s="20">
        <v>38</v>
      </c>
      <c r="B40" s="117">
        <v>46251</v>
      </c>
      <c r="C40" s="80" t="s">
        <v>444</v>
      </c>
      <c r="D40" s="18" t="s">
        <v>534</v>
      </c>
      <c r="E40" s="18">
        <v>1</v>
      </c>
      <c r="F40" s="81" t="s">
        <v>520</v>
      </c>
      <c r="G40" s="30">
        <v>364726</v>
      </c>
      <c r="H40" s="118">
        <v>188</v>
      </c>
      <c r="I40" s="119" t="s">
        <v>424</v>
      </c>
      <c r="J40" s="80" t="s">
        <v>431</v>
      </c>
      <c r="K40" s="40">
        <v>0</v>
      </c>
      <c r="L40" s="40">
        <v>25</v>
      </c>
      <c r="M40" s="120">
        <v>25</v>
      </c>
      <c r="N40" s="121">
        <v>0</v>
      </c>
      <c r="O40" s="121">
        <v>25</v>
      </c>
      <c r="P40" s="122"/>
      <c r="Q40" s="121"/>
      <c r="R40" s="122"/>
      <c r="S40" s="31"/>
      <c r="T40" s="32" t="s">
        <v>514</v>
      </c>
      <c r="U40" s="32"/>
      <c r="V40" s="25"/>
      <c r="W40" s="20"/>
      <c r="X40" s="20"/>
      <c r="Y40" s="20"/>
    </row>
    <row r="41" spans="1:25" x14ac:dyDescent="0.25">
      <c r="A41" s="20">
        <v>39</v>
      </c>
      <c r="B41" s="117">
        <v>46251</v>
      </c>
      <c r="C41" s="80" t="s">
        <v>469</v>
      </c>
      <c r="D41" s="18" t="s">
        <v>80</v>
      </c>
      <c r="E41" s="18">
        <v>1</v>
      </c>
      <c r="F41" s="81" t="s">
        <v>475</v>
      </c>
      <c r="G41" s="30">
        <v>62899</v>
      </c>
      <c r="H41" s="118">
        <v>836</v>
      </c>
      <c r="I41" s="119" t="s">
        <v>436</v>
      </c>
      <c r="J41" s="80" t="s">
        <v>432</v>
      </c>
      <c r="K41" s="40"/>
      <c r="L41" s="40"/>
      <c r="M41" s="120"/>
      <c r="N41" s="121"/>
      <c r="O41" s="121"/>
      <c r="P41" s="122"/>
      <c r="Q41" s="121"/>
      <c r="R41" s="122"/>
      <c r="S41" s="31"/>
      <c r="T41" s="124" t="s">
        <v>421</v>
      </c>
      <c r="U41" s="32"/>
      <c r="V41" s="25"/>
      <c r="W41" s="20"/>
      <c r="X41" s="20"/>
      <c r="Y41" s="20"/>
    </row>
    <row r="42" spans="1:25" x14ac:dyDescent="0.25">
      <c r="A42" s="20">
        <v>40</v>
      </c>
      <c r="B42" s="117">
        <v>46251</v>
      </c>
      <c r="C42" s="80" t="s">
        <v>448</v>
      </c>
      <c r="D42" s="18" t="s">
        <v>547</v>
      </c>
      <c r="E42" s="18">
        <v>1</v>
      </c>
      <c r="F42" s="81" t="s">
        <v>520</v>
      </c>
      <c r="G42" s="30">
        <v>301558</v>
      </c>
      <c r="H42" s="118">
        <v>189</v>
      </c>
      <c r="I42" s="119" t="s">
        <v>11</v>
      </c>
      <c r="J42" s="80" t="s">
        <v>431</v>
      </c>
      <c r="K42" s="40">
        <v>2130</v>
      </c>
      <c r="L42" s="40">
        <v>250</v>
      </c>
      <c r="M42" s="120">
        <v>2380</v>
      </c>
      <c r="N42" s="121">
        <v>2130</v>
      </c>
      <c r="O42" s="121">
        <v>250</v>
      </c>
      <c r="P42" s="122"/>
      <c r="Q42" s="121"/>
      <c r="R42" s="122"/>
      <c r="S42" s="31"/>
      <c r="T42" s="32" t="s">
        <v>514</v>
      </c>
      <c r="U42" s="32"/>
      <c r="V42" s="25"/>
      <c r="W42" s="20"/>
      <c r="X42" s="20"/>
      <c r="Y42" s="20"/>
    </row>
    <row r="43" spans="1:25" x14ac:dyDescent="0.25">
      <c r="A43" s="20">
        <v>41</v>
      </c>
      <c r="B43" s="117">
        <v>46252</v>
      </c>
      <c r="C43" s="80" t="s">
        <v>448</v>
      </c>
      <c r="D43" s="18" t="s">
        <v>547</v>
      </c>
      <c r="E43" s="18">
        <v>1</v>
      </c>
      <c r="F43" s="81" t="s">
        <v>520</v>
      </c>
      <c r="G43" s="30">
        <v>301558</v>
      </c>
      <c r="H43" s="118">
        <v>190</v>
      </c>
      <c r="I43" s="119" t="s">
        <v>424</v>
      </c>
      <c r="J43" s="80" t="s">
        <v>431</v>
      </c>
      <c r="K43" s="40">
        <v>205</v>
      </c>
      <c r="L43" s="40">
        <v>25</v>
      </c>
      <c r="M43" s="120">
        <v>230</v>
      </c>
      <c r="N43" s="121">
        <v>205</v>
      </c>
      <c r="O43" s="121">
        <v>25</v>
      </c>
      <c r="P43" s="122"/>
      <c r="Q43" s="121"/>
      <c r="R43" s="122"/>
      <c r="S43" s="31"/>
      <c r="T43" s="32" t="s">
        <v>514</v>
      </c>
      <c r="U43" s="32"/>
      <c r="V43" s="25"/>
      <c r="W43" s="20"/>
      <c r="X43" s="20"/>
      <c r="Y43" s="20"/>
    </row>
    <row r="44" spans="1:25" x14ac:dyDescent="0.25">
      <c r="A44" s="20">
        <v>42</v>
      </c>
      <c r="B44" s="117">
        <v>46252</v>
      </c>
      <c r="C44" s="80" t="s">
        <v>448</v>
      </c>
      <c r="D44" s="18" t="s">
        <v>86</v>
      </c>
      <c r="E44" s="18">
        <v>1</v>
      </c>
      <c r="F44" s="81" t="s">
        <v>87</v>
      </c>
      <c r="G44" s="30">
        <v>80034</v>
      </c>
      <c r="H44" s="118">
        <v>838</v>
      </c>
      <c r="I44" s="119" t="s">
        <v>436</v>
      </c>
      <c r="J44" s="80" t="s">
        <v>446</v>
      </c>
      <c r="K44" s="40">
        <v>168</v>
      </c>
      <c r="L44" s="40">
        <v>50</v>
      </c>
      <c r="M44" s="120">
        <v>218</v>
      </c>
      <c r="N44" s="121">
        <v>103.52</v>
      </c>
      <c r="O44" s="121">
        <v>114.48</v>
      </c>
      <c r="P44" s="122"/>
      <c r="Q44" s="121">
        <v>64.48</v>
      </c>
      <c r="R44" s="122"/>
      <c r="S44" s="31"/>
      <c r="T44" s="32" t="s">
        <v>514</v>
      </c>
      <c r="U44" s="32"/>
      <c r="V44" s="25"/>
      <c r="W44" s="20"/>
      <c r="X44" s="20"/>
      <c r="Y44" s="20"/>
    </row>
    <row r="45" spans="1:25" x14ac:dyDescent="0.25">
      <c r="A45" s="20">
        <v>43</v>
      </c>
      <c r="B45" s="117">
        <v>46252</v>
      </c>
      <c r="C45" s="80" t="s">
        <v>437</v>
      </c>
      <c r="D45" s="18" t="s">
        <v>80</v>
      </c>
      <c r="E45" s="18">
        <v>1</v>
      </c>
      <c r="F45" s="81" t="s">
        <v>536</v>
      </c>
      <c r="G45" s="30">
        <v>319011</v>
      </c>
      <c r="H45" s="118">
        <v>837</v>
      </c>
      <c r="I45" s="119" t="s">
        <v>436</v>
      </c>
      <c r="J45" s="80" t="s">
        <v>432</v>
      </c>
      <c r="K45" s="40">
        <v>0</v>
      </c>
      <c r="L45" s="40">
        <v>250</v>
      </c>
      <c r="M45" s="120">
        <v>250</v>
      </c>
      <c r="N45" s="121">
        <v>0</v>
      </c>
      <c r="O45" s="121">
        <v>250</v>
      </c>
      <c r="P45" s="122"/>
      <c r="Q45" s="121"/>
      <c r="R45" s="122"/>
      <c r="S45" s="31"/>
      <c r="T45" s="32" t="s">
        <v>514</v>
      </c>
      <c r="U45" s="32"/>
      <c r="V45" s="25"/>
      <c r="W45" s="20"/>
      <c r="X45" s="20"/>
      <c r="Y45" s="20"/>
    </row>
    <row r="46" spans="1:25" x14ac:dyDescent="0.25">
      <c r="A46" s="20">
        <v>44</v>
      </c>
      <c r="B46" s="117">
        <v>46252</v>
      </c>
      <c r="C46" s="80" t="s">
        <v>448</v>
      </c>
      <c r="D46" s="18" t="s">
        <v>537</v>
      </c>
      <c r="E46" s="18">
        <v>1</v>
      </c>
      <c r="F46" s="81" t="s">
        <v>87</v>
      </c>
      <c r="G46" s="30">
        <v>67908</v>
      </c>
      <c r="H46" s="118">
        <v>839</v>
      </c>
      <c r="I46" s="119" t="s">
        <v>538</v>
      </c>
      <c r="J46" s="80" t="s">
        <v>446</v>
      </c>
      <c r="K46" s="40">
        <v>204</v>
      </c>
      <c r="L46" s="40">
        <v>50</v>
      </c>
      <c r="M46" s="120">
        <v>254</v>
      </c>
      <c r="N46" s="121">
        <v>125.7</v>
      </c>
      <c r="O46" s="121">
        <v>128.30000000000001</v>
      </c>
      <c r="P46" s="122"/>
      <c r="Q46" s="121">
        <v>78.3</v>
      </c>
      <c r="R46" s="122"/>
      <c r="S46" s="31"/>
      <c r="T46" s="32" t="s">
        <v>514</v>
      </c>
      <c r="U46" s="32"/>
      <c r="V46" s="25"/>
      <c r="W46" s="20"/>
      <c r="X46" s="20"/>
      <c r="Y46" s="20"/>
    </row>
    <row r="47" spans="1:25" x14ac:dyDescent="0.25">
      <c r="A47" s="20">
        <v>45</v>
      </c>
      <c r="B47" s="117">
        <v>46253</v>
      </c>
      <c r="C47" s="80" t="s">
        <v>437</v>
      </c>
      <c r="D47" s="18" t="s">
        <v>80</v>
      </c>
      <c r="E47" s="18">
        <v>1</v>
      </c>
      <c r="F47" s="81" t="s">
        <v>539</v>
      </c>
      <c r="G47" s="30">
        <v>303768</v>
      </c>
      <c r="H47" s="118">
        <v>840</v>
      </c>
      <c r="I47" s="119" t="s">
        <v>11</v>
      </c>
      <c r="J47" s="80" t="s">
        <v>432</v>
      </c>
      <c r="K47" s="40">
        <v>0</v>
      </c>
      <c r="L47" s="40">
        <v>250</v>
      </c>
      <c r="M47" s="120">
        <v>250</v>
      </c>
      <c r="N47" s="121">
        <v>0</v>
      </c>
      <c r="O47" s="121">
        <v>250</v>
      </c>
      <c r="P47" s="122"/>
      <c r="Q47" s="121"/>
      <c r="R47" s="122"/>
      <c r="S47" s="31"/>
      <c r="T47" s="32" t="s">
        <v>514</v>
      </c>
      <c r="U47" s="32"/>
      <c r="V47" s="25"/>
      <c r="W47" s="20"/>
      <c r="X47" s="20"/>
      <c r="Y47" s="20"/>
    </row>
    <row r="48" spans="1:25" x14ac:dyDescent="0.25">
      <c r="A48" s="20">
        <v>46</v>
      </c>
      <c r="B48" s="117">
        <v>46253</v>
      </c>
      <c r="C48" s="80" t="s">
        <v>486</v>
      </c>
      <c r="D48" s="18" t="s">
        <v>80</v>
      </c>
      <c r="E48" s="18">
        <v>1</v>
      </c>
      <c r="F48" s="81" t="s">
        <v>90</v>
      </c>
      <c r="G48" s="30">
        <v>124179</v>
      </c>
      <c r="H48" s="118">
        <v>841</v>
      </c>
      <c r="I48" s="119" t="s">
        <v>17</v>
      </c>
      <c r="J48" s="80" t="s">
        <v>431</v>
      </c>
      <c r="K48" s="40">
        <v>1036</v>
      </c>
      <c r="L48" s="40">
        <v>1170</v>
      </c>
      <c r="M48" s="120">
        <v>2206</v>
      </c>
      <c r="N48" s="121">
        <v>1036</v>
      </c>
      <c r="O48" s="121">
        <v>1170</v>
      </c>
      <c r="P48" s="122"/>
      <c r="Q48" s="121"/>
      <c r="R48" s="122"/>
      <c r="S48" s="31"/>
      <c r="T48" s="32" t="s">
        <v>514</v>
      </c>
      <c r="U48" s="32"/>
      <c r="V48" s="25"/>
      <c r="W48" s="20"/>
      <c r="X48" s="20"/>
      <c r="Y48" s="20"/>
    </row>
    <row r="49" spans="1:25" x14ac:dyDescent="0.25">
      <c r="A49" s="20">
        <v>47</v>
      </c>
      <c r="B49" s="117">
        <v>46254</v>
      </c>
      <c r="C49" s="80" t="s">
        <v>444</v>
      </c>
      <c r="D49" s="18" t="s">
        <v>445</v>
      </c>
      <c r="E49" s="18">
        <v>1</v>
      </c>
      <c r="F49" s="81" t="s">
        <v>87</v>
      </c>
      <c r="G49" s="30">
        <v>469101</v>
      </c>
      <c r="H49" s="118">
        <v>191</v>
      </c>
      <c r="I49" s="119" t="s">
        <v>424</v>
      </c>
      <c r="J49" s="80" t="s">
        <v>446</v>
      </c>
      <c r="K49" s="40">
        <v>0</v>
      </c>
      <c r="L49" s="40">
        <v>25</v>
      </c>
      <c r="M49" s="120">
        <v>25</v>
      </c>
      <c r="N49" s="121">
        <v>0</v>
      </c>
      <c r="O49" s="121">
        <v>25</v>
      </c>
      <c r="P49" s="122"/>
      <c r="Q49" s="121"/>
      <c r="R49" s="122"/>
      <c r="S49" s="31"/>
      <c r="T49" s="32" t="s">
        <v>514</v>
      </c>
      <c r="U49" s="32"/>
      <c r="V49" s="25"/>
      <c r="W49" s="20"/>
      <c r="X49" s="20"/>
      <c r="Y49" s="20"/>
    </row>
    <row r="50" spans="1:25" x14ac:dyDescent="0.25">
      <c r="A50" s="20">
        <v>48</v>
      </c>
      <c r="B50" s="117">
        <v>46254</v>
      </c>
      <c r="C50" s="80" t="s">
        <v>448</v>
      </c>
      <c r="D50" s="18" t="s">
        <v>535</v>
      </c>
      <c r="E50" s="18">
        <v>1</v>
      </c>
      <c r="F50" s="81" t="s">
        <v>520</v>
      </c>
      <c r="G50" s="30">
        <v>231150</v>
      </c>
      <c r="H50" s="118">
        <v>192</v>
      </c>
      <c r="I50" s="119" t="s">
        <v>424</v>
      </c>
      <c r="J50" s="80" t="s">
        <v>431</v>
      </c>
      <c r="K50" s="40">
        <v>15</v>
      </c>
      <c r="L50" s="40">
        <v>25</v>
      </c>
      <c r="M50" s="120">
        <v>40</v>
      </c>
      <c r="N50" s="121">
        <v>15</v>
      </c>
      <c r="O50" s="121">
        <v>25</v>
      </c>
      <c r="P50" s="122"/>
      <c r="Q50" s="121"/>
      <c r="R50" s="122"/>
      <c r="S50" s="31"/>
      <c r="T50" s="32" t="s">
        <v>514</v>
      </c>
      <c r="U50" s="32"/>
      <c r="V50" s="25"/>
      <c r="W50" s="20"/>
      <c r="X50" s="20"/>
      <c r="Y50" s="20"/>
    </row>
    <row r="51" spans="1:25" x14ac:dyDescent="0.25">
      <c r="A51" s="20">
        <v>49</v>
      </c>
      <c r="B51" s="117">
        <v>46254</v>
      </c>
      <c r="C51" s="80" t="s">
        <v>469</v>
      </c>
      <c r="D51" s="18" t="s">
        <v>80</v>
      </c>
      <c r="E51" s="18">
        <v>1</v>
      </c>
      <c r="F51" s="81" t="s">
        <v>540</v>
      </c>
      <c r="G51" s="30">
        <v>113059</v>
      </c>
      <c r="H51" s="118">
        <v>842</v>
      </c>
      <c r="I51" s="119" t="s">
        <v>436</v>
      </c>
      <c r="J51" s="80" t="s">
        <v>432</v>
      </c>
      <c r="K51" s="40">
        <v>0</v>
      </c>
      <c r="L51" s="40">
        <v>0</v>
      </c>
      <c r="M51" s="120">
        <v>0</v>
      </c>
      <c r="N51" s="121">
        <v>0</v>
      </c>
      <c r="O51" s="121">
        <v>0</v>
      </c>
      <c r="P51" s="122"/>
      <c r="Q51" s="121"/>
      <c r="R51" s="122"/>
      <c r="S51" s="31"/>
      <c r="T51" s="32" t="s">
        <v>514</v>
      </c>
      <c r="U51" s="32"/>
      <c r="V51" s="25"/>
      <c r="W51" s="20" t="s">
        <v>94</v>
      </c>
      <c r="X51" s="20"/>
      <c r="Y51" s="20"/>
    </row>
    <row r="52" spans="1:25" x14ac:dyDescent="0.25">
      <c r="A52" s="20">
        <v>50</v>
      </c>
      <c r="B52" s="117">
        <v>46254</v>
      </c>
      <c r="C52" s="80" t="s">
        <v>469</v>
      </c>
      <c r="D52" s="18" t="s">
        <v>80</v>
      </c>
      <c r="E52" s="18">
        <v>1</v>
      </c>
      <c r="F52" s="81" t="s">
        <v>541</v>
      </c>
      <c r="G52" s="30">
        <v>215540</v>
      </c>
      <c r="H52" s="118">
        <v>843</v>
      </c>
      <c r="I52" s="119" t="s">
        <v>11</v>
      </c>
      <c r="J52" s="80" t="s">
        <v>432</v>
      </c>
      <c r="K52" s="40"/>
      <c r="L52" s="40"/>
      <c r="M52" s="120"/>
      <c r="N52" s="121"/>
      <c r="O52" s="121"/>
      <c r="P52" s="122"/>
      <c r="Q52" s="121"/>
      <c r="R52" s="122"/>
      <c r="S52" s="31"/>
      <c r="T52" s="124" t="s">
        <v>421</v>
      </c>
      <c r="U52" s="32"/>
      <c r="V52" s="25"/>
      <c r="W52" s="20"/>
      <c r="X52" s="20"/>
      <c r="Y52" s="20"/>
    </row>
    <row r="53" spans="1:25" x14ac:dyDescent="0.25">
      <c r="A53" s="20">
        <v>51</v>
      </c>
      <c r="B53" s="117">
        <v>46254</v>
      </c>
      <c r="C53" s="80" t="s">
        <v>437</v>
      </c>
      <c r="D53" s="18" t="s">
        <v>80</v>
      </c>
      <c r="E53" s="18">
        <v>1</v>
      </c>
      <c r="F53" s="81" t="s">
        <v>542</v>
      </c>
      <c r="G53" s="30">
        <v>310126</v>
      </c>
      <c r="H53" s="118">
        <v>844</v>
      </c>
      <c r="I53" s="119" t="s">
        <v>436</v>
      </c>
      <c r="J53" s="80" t="s">
        <v>432</v>
      </c>
      <c r="K53" s="40">
        <v>0</v>
      </c>
      <c r="L53" s="40">
        <v>275</v>
      </c>
      <c r="M53" s="120">
        <v>275</v>
      </c>
      <c r="N53" s="121">
        <v>0</v>
      </c>
      <c r="O53" s="121">
        <v>275</v>
      </c>
      <c r="P53" s="122"/>
      <c r="Q53" s="121"/>
      <c r="R53" s="122"/>
      <c r="S53" s="31"/>
      <c r="T53" s="32" t="s">
        <v>514</v>
      </c>
      <c r="U53" s="32"/>
      <c r="V53" s="25"/>
      <c r="W53" s="20"/>
      <c r="X53" s="20"/>
      <c r="Y53" s="20"/>
    </row>
    <row r="54" spans="1:25" x14ac:dyDescent="0.25">
      <c r="A54" s="20">
        <v>52</v>
      </c>
      <c r="B54" s="117">
        <v>46254</v>
      </c>
      <c r="C54" s="80" t="s">
        <v>486</v>
      </c>
      <c r="D54" s="18" t="s">
        <v>543</v>
      </c>
      <c r="E54" s="18">
        <v>1</v>
      </c>
      <c r="F54" s="81" t="s">
        <v>513</v>
      </c>
      <c r="G54" s="30">
        <v>311471</v>
      </c>
      <c r="H54" s="118">
        <v>845</v>
      </c>
      <c r="I54" s="119" t="s">
        <v>17</v>
      </c>
      <c r="J54" s="80" t="s">
        <v>446</v>
      </c>
      <c r="K54" s="40">
        <v>774</v>
      </c>
      <c r="L54" s="40">
        <v>305</v>
      </c>
      <c r="M54" s="120">
        <v>1079</v>
      </c>
      <c r="N54" s="121">
        <v>603.58000000000004</v>
      </c>
      <c r="O54" s="121">
        <v>475.42</v>
      </c>
      <c r="P54" s="122"/>
      <c r="Q54" s="121">
        <v>170.42</v>
      </c>
      <c r="R54" s="122"/>
      <c r="S54" s="31"/>
      <c r="T54" s="32" t="s">
        <v>514</v>
      </c>
      <c r="U54" s="32"/>
      <c r="V54" s="25"/>
      <c r="W54" s="20"/>
      <c r="X54" s="20"/>
      <c r="Y54" s="20"/>
    </row>
    <row r="55" spans="1:25" x14ac:dyDescent="0.25">
      <c r="A55" s="20">
        <v>53</v>
      </c>
      <c r="B55" s="117">
        <v>46257</v>
      </c>
      <c r="C55" s="80" t="s">
        <v>444</v>
      </c>
      <c r="D55" s="18" t="s">
        <v>497</v>
      </c>
      <c r="E55" s="18">
        <v>1</v>
      </c>
      <c r="F55" s="81" t="s">
        <v>525</v>
      </c>
      <c r="G55" s="30">
        <v>19264</v>
      </c>
      <c r="H55" s="118">
        <v>193</v>
      </c>
      <c r="I55" s="119" t="s">
        <v>13</v>
      </c>
      <c r="J55" s="80" t="s">
        <v>431</v>
      </c>
      <c r="K55" s="40">
        <v>85</v>
      </c>
      <c r="L55" s="40">
        <v>30</v>
      </c>
      <c r="M55" s="120">
        <v>115</v>
      </c>
      <c r="N55" s="121">
        <v>85</v>
      </c>
      <c r="O55" s="121">
        <v>30</v>
      </c>
      <c r="P55" s="122"/>
      <c r="Q55" s="121"/>
      <c r="R55" s="122"/>
      <c r="S55" s="31"/>
      <c r="T55" s="32" t="s">
        <v>514</v>
      </c>
      <c r="U55" s="32"/>
      <c r="V55" s="25"/>
      <c r="W55" s="20"/>
      <c r="X55" s="20"/>
      <c r="Y55" s="20"/>
    </row>
    <row r="56" spans="1:25" x14ac:dyDescent="0.25">
      <c r="A56" s="20">
        <v>54</v>
      </c>
      <c r="B56" s="117">
        <v>46257</v>
      </c>
      <c r="C56" s="80" t="s">
        <v>444</v>
      </c>
      <c r="D56" s="18" t="s">
        <v>478</v>
      </c>
      <c r="E56" s="18">
        <v>1</v>
      </c>
      <c r="F56" s="81" t="s">
        <v>87</v>
      </c>
      <c r="G56" s="30">
        <v>925278</v>
      </c>
      <c r="H56" s="118">
        <v>194</v>
      </c>
      <c r="I56" s="119" t="s">
        <v>13</v>
      </c>
      <c r="J56" s="80" t="s">
        <v>446</v>
      </c>
      <c r="K56" s="40">
        <v>0</v>
      </c>
      <c r="L56" s="40">
        <v>75</v>
      </c>
      <c r="M56" s="120">
        <v>75</v>
      </c>
      <c r="N56" s="121">
        <v>0</v>
      </c>
      <c r="O56" s="121">
        <v>75</v>
      </c>
      <c r="P56" s="122"/>
      <c r="Q56" s="121"/>
      <c r="R56" s="122"/>
      <c r="S56" s="31"/>
      <c r="T56" s="32" t="s">
        <v>514</v>
      </c>
      <c r="U56" s="32"/>
      <c r="V56" s="25"/>
      <c r="W56" s="20"/>
      <c r="X56" s="20"/>
      <c r="Y56" s="20"/>
    </row>
    <row r="57" spans="1:25" x14ac:dyDescent="0.25">
      <c r="A57" s="20">
        <v>55</v>
      </c>
      <c r="B57" s="36">
        <v>46258</v>
      </c>
      <c r="C57" s="80" t="s">
        <v>486</v>
      </c>
      <c r="D57" s="18" t="s">
        <v>518</v>
      </c>
      <c r="E57" s="18">
        <v>1</v>
      </c>
      <c r="F57" s="81" t="s">
        <v>523</v>
      </c>
      <c r="G57" s="30">
        <v>885767</v>
      </c>
      <c r="H57" s="118">
        <v>195</v>
      </c>
      <c r="I57" s="119" t="s">
        <v>17</v>
      </c>
      <c r="J57" s="80" t="s">
        <v>431</v>
      </c>
      <c r="K57" s="40">
        <v>247.5</v>
      </c>
      <c r="L57" s="40">
        <v>252.5</v>
      </c>
      <c r="M57" s="120">
        <v>500</v>
      </c>
      <c r="N57" s="121">
        <v>247.5</v>
      </c>
      <c r="O57" s="121">
        <v>252.5</v>
      </c>
      <c r="P57" s="122"/>
      <c r="Q57" s="121"/>
      <c r="R57" s="122"/>
      <c r="S57" s="31"/>
      <c r="T57" s="32" t="s">
        <v>514</v>
      </c>
      <c r="U57" s="32"/>
      <c r="V57" s="25"/>
      <c r="W57" s="20"/>
      <c r="X57" s="20"/>
      <c r="Y57" s="20"/>
    </row>
    <row r="58" spans="1:25" x14ac:dyDescent="0.25">
      <c r="A58" s="20">
        <v>56</v>
      </c>
      <c r="B58" s="117">
        <v>46259</v>
      </c>
      <c r="C58" s="80" t="s">
        <v>444</v>
      </c>
      <c r="D58" s="18" t="s">
        <v>516</v>
      </c>
      <c r="E58" s="18">
        <v>1</v>
      </c>
      <c r="F58" s="81" t="s">
        <v>545</v>
      </c>
      <c r="G58" s="30">
        <v>351774</v>
      </c>
      <c r="H58" s="118">
        <v>196</v>
      </c>
      <c r="I58" s="119" t="s">
        <v>13</v>
      </c>
      <c r="J58" s="98" t="s">
        <v>431</v>
      </c>
      <c r="K58" s="76">
        <v>957</v>
      </c>
      <c r="L58" s="76">
        <v>350</v>
      </c>
      <c r="M58" s="126">
        <v>1307</v>
      </c>
      <c r="N58" s="126">
        <v>957</v>
      </c>
      <c r="O58" s="126">
        <v>350</v>
      </c>
      <c r="P58" s="122"/>
      <c r="Q58" s="121"/>
      <c r="R58" s="122"/>
      <c r="S58" s="31"/>
      <c r="T58" s="32" t="s">
        <v>421</v>
      </c>
      <c r="U58" s="32"/>
      <c r="V58" s="25"/>
      <c r="W58" s="20"/>
      <c r="X58" s="20"/>
      <c r="Y58" s="20"/>
    </row>
    <row r="59" spans="1:25" x14ac:dyDescent="0.25">
      <c r="A59" s="20">
        <v>57</v>
      </c>
      <c r="B59" s="117">
        <v>46258</v>
      </c>
      <c r="C59" s="80" t="s">
        <v>448</v>
      </c>
      <c r="D59" s="18" t="s">
        <v>84</v>
      </c>
      <c r="E59" s="18">
        <v>1</v>
      </c>
      <c r="F59" s="81" t="s">
        <v>87</v>
      </c>
      <c r="G59" s="30">
        <v>157847</v>
      </c>
      <c r="H59" s="118">
        <v>846</v>
      </c>
      <c r="I59" s="119" t="s">
        <v>436</v>
      </c>
      <c r="J59" s="80" t="s">
        <v>446</v>
      </c>
      <c r="K59" s="40">
        <v>0</v>
      </c>
      <c r="L59" s="40">
        <v>150</v>
      </c>
      <c r="M59" s="120">
        <v>150</v>
      </c>
      <c r="N59" s="121">
        <v>0</v>
      </c>
      <c r="O59" s="121">
        <v>150</v>
      </c>
      <c r="P59" s="122"/>
      <c r="Q59" s="121"/>
      <c r="R59" s="122"/>
      <c r="S59" s="31"/>
      <c r="T59" s="32" t="s">
        <v>514</v>
      </c>
      <c r="U59" s="32"/>
      <c r="V59" s="25"/>
      <c r="W59" s="20"/>
      <c r="X59" s="20"/>
      <c r="Y59" s="20"/>
    </row>
    <row r="60" spans="1:25" x14ac:dyDescent="0.25">
      <c r="A60" s="20">
        <v>58</v>
      </c>
      <c r="B60" s="117" t="s">
        <v>546</v>
      </c>
      <c r="C60" s="80" t="s">
        <v>469</v>
      </c>
      <c r="D60" s="18" t="s">
        <v>80</v>
      </c>
      <c r="E60" s="18">
        <v>1</v>
      </c>
      <c r="F60" s="81" t="s">
        <v>542</v>
      </c>
      <c r="G60" s="30">
        <v>181682</v>
      </c>
      <c r="H60" s="118">
        <v>847</v>
      </c>
      <c r="I60" s="119" t="s">
        <v>436</v>
      </c>
      <c r="J60" s="80" t="s">
        <v>432</v>
      </c>
      <c r="K60" s="40">
        <v>0</v>
      </c>
      <c r="L60" s="40">
        <v>250</v>
      </c>
      <c r="M60" s="120">
        <v>250</v>
      </c>
      <c r="N60" s="121">
        <v>0</v>
      </c>
      <c r="O60" s="121">
        <v>250</v>
      </c>
      <c r="P60" s="122"/>
      <c r="Q60" s="121"/>
      <c r="R60" s="122"/>
      <c r="S60" s="31"/>
      <c r="T60" s="32" t="s">
        <v>514</v>
      </c>
      <c r="U60" s="32"/>
      <c r="V60" s="25"/>
      <c r="W60" s="20" t="s">
        <v>94</v>
      </c>
      <c r="X60" s="20"/>
      <c r="Y60" s="20"/>
    </row>
    <row r="61" spans="1:25" x14ac:dyDescent="0.25">
      <c r="A61" s="20">
        <v>59</v>
      </c>
      <c r="B61" s="117">
        <v>46260</v>
      </c>
      <c r="C61" s="80" t="s">
        <v>448</v>
      </c>
      <c r="D61" s="18" t="s">
        <v>80</v>
      </c>
      <c r="E61" s="18">
        <v>1</v>
      </c>
      <c r="F61" s="81" t="s">
        <v>87</v>
      </c>
      <c r="G61" s="30">
        <v>206640</v>
      </c>
      <c r="H61" s="118">
        <v>848</v>
      </c>
      <c r="I61" s="119" t="s">
        <v>436</v>
      </c>
      <c r="J61" s="80" t="s">
        <v>446</v>
      </c>
      <c r="K61" s="40"/>
      <c r="L61" s="40"/>
      <c r="M61" s="120"/>
      <c r="N61" s="121"/>
      <c r="O61" s="121"/>
      <c r="P61" s="122"/>
      <c r="Q61" s="121"/>
      <c r="R61" s="122"/>
      <c r="S61" s="31"/>
      <c r="T61" s="32"/>
      <c r="U61" s="32"/>
      <c r="V61" s="25"/>
      <c r="W61" s="20"/>
      <c r="X61" s="20"/>
      <c r="Y61" s="20"/>
    </row>
    <row r="62" spans="1:25" x14ac:dyDescent="0.25">
      <c r="A62" s="20">
        <v>60</v>
      </c>
      <c r="B62" s="117">
        <v>46261</v>
      </c>
      <c r="C62" s="80" t="s">
        <v>486</v>
      </c>
      <c r="D62" s="18" t="s">
        <v>549</v>
      </c>
      <c r="E62" s="18">
        <v>1</v>
      </c>
      <c r="F62" s="81" t="s">
        <v>550</v>
      </c>
      <c r="G62" s="30">
        <v>810936</v>
      </c>
      <c r="H62" s="118">
        <v>197</v>
      </c>
      <c r="I62" s="119" t="s">
        <v>17</v>
      </c>
      <c r="J62" s="80" t="s">
        <v>431</v>
      </c>
      <c r="K62" s="40">
        <v>260</v>
      </c>
      <c r="L62" s="40">
        <v>340</v>
      </c>
      <c r="M62" s="120">
        <v>600</v>
      </c>
      <c r="N62" s="121">
        <v>260</v>
      </c>
      <c r="O62" s="121">
        <v>340</v>
      </c>
      <c r="P62" s="122"/>
      <c r="Q62" s="121"/>
      <c r="R62" s="122"/>
      <c r="S62" s="31"/>
      <c r="T62" s="32" t="s">
        <v>514</v>
      </c>
      <c r="U62" s="32"/>
      <c r="V62" s="25"/>
      <c r="W62" s="20"/>
      <c r="X62" s="20"/>
      <c r="Y62" s="20"/>
    </row>
    <row r="63" spans="1:25" x14ac:dyDescent="0.25">
      <c r="A63" s="20">
        <v>61</v>
      </c>
      <c r="B63" s="117">
        <v>46261</v>
      </c>
      <c r="C63" s="80" t="s">
        <v>444</v>
      </c>
      <c r="D63" s="127" t="s">
        <v>449</v>
      </c>
      <c r="E63" s="127">
        <v>1</v>
      </c>
      <c r="F63" s="128" t="s">
        <v>552</v>
      </c>
      <c r="G63" s="125">
        <v>732950</v>
      </c>
      <c r="H63" s="37">
        <v>198</v>
      </c>
      <c r="I63" s="119" t="s">
        <v>424</v>
      </c>
      <c r="J63" s="80" t="s">
        <v>431</v>
      </c>
      <c r="K63" s="40">
        <v>285</v>
      </c>
      <c r="L63" s="40">
        <v>70</v>
      </c>
      <c r="M63" s="120">
        <v>355</v>
      </c>
      <c r="N63" s="121">
        <v>285</v>
      </c>
      <c r="O63" s="121">
        <v>70</v>
      </c>
      <c r="P63" s="122"/>
      <c r="Q63" s="121"/>
      <c r="R63" s="122"/>
      <c r="S63" s="31"/>
      <c r="T63" s="32" t="s">
        <v>514</v>
      </c>
      <c r="U63" s="32"/>
      <c r="V63" s="25"/>
      <c r="W63" s="20"/>
      <c r="X63" s="20"/>
      <c r="Y63" s="20"/>
    </row>
    <row r="64" spans="1:25" x14ac:dyDescent="0.25">
      <c r="A64" s="20">
        <v>62</v>
      </c>
      <c r="B64" s="117">
        <v>46261</v>
      </c>
      <c r="C64" s="80" t="s">
        <v>444</v>
      </c>
      <c r="D64" s="18" t="s">
        <v>551</v>
      </c>
      <c r="E64" s="18"/>
      <c r="F64" s="81" t="s">
        <v>525</v>
      </c>
      <c r="G64" s="30">
        <v>116076</v>
      </c>
      <c r="H64" s="37">
        <v>199</v>
      </c>
      <c r="I64" s="119" t="s">
        <v>424</v>
      </c>
      <c r="J64" s="80" t="s">
        <v>431</v>
      </c>
      <c r="K64" s="40">
        <v>1305</v>
      </c>
      <c r="L64" s="40">
        <v>350</v>
      </c>
      <c r="M64" s="120">
        <v>1655</v>
      </c>
      <c r="N64" s="121">
        <v>1305</v>
      </c>
      <c r="O64" s="121">
        <v>350</v>
      </c>
      <c r="P64" s="122"/>
      <c r="Q64" s="121"/>
      <c r="R64" s="122"/>
      <c r="S64" s="31"/>
      <c r="T64" s="32" t="s">
        <v>514</v>
      </c>
      <c r="U64" s="32"/>
      <c r="V64" s="25"/>
      <c r="W64" s="20"/>
      <c r="X64" s="20"/>
      <c r="Y64" s="20"/>
    </row>
    <row r="65" spans="1:25" x14ac:dyDescent="0.25">
      <c r="A65" s="20">
        <v>63</v>
      </c>
      <c r="B65" s="129">
        <v>46261</v>
      </c>
      <c r="C65" s="98" t="s">
        <v>448</v>
      </c>
      <c r="D65" s="29" t="s">
        <v>80</v>
      </c>
      <c r="E65" s="29">
        <v>1</v>
      </c>
      <c r="F65" s="85" t="s">
        <v>553</v>
      </c>
      <c r="G65" s="35">
        <v>260425</v>
      </c>
      <c r="H65" s="130">
        <v>849</v>
      </c>
      <c r="I65" s="119"/>
      <c r="J65" s="80"/>
      <c r="K65" s="40"/>
      <c r="L65" s="40"/>
      <c r="M65" s="120"/>
      <c r="N65" s="121"/>
      <c r="O65" s="121"/>
      <c r="P65" s="122"/>
      <c r="Q65" s="121"/>
      <c r="R65" s="122"/>
      <c r="S65" s="31"/>
      <c r="T65" s="124" t="s">
        <v>421</v>
      </c>
      <c r="U65" s="32"/>
      <c r="V65" s="25"/>
      <c r="W65" s="20"/>
      <c r="X65" s="20"/>
      <c r="Y65" s="20"/>
    </row>
    <row r="66" spans="1:25" x14ac:dyDescent="0.25">
      <c r="A66" s="20">
        <v>64</v>
      </c>
      <c r="B66" s="117">
        <v>46263</v>
      </c>
      <c r="C66" s="80" t="s">
        <v>437</v>
      </c>
      <c r="D66" s="18" t="s">
        <v>80</v>
      </c>
      <c r="E66" s="18">
        <v>1</v>
      </c>
      <c r="F66" s="81" t="s">
        <v>554</v>
      </c>
      <c r="G66" s="30">
        <v>82392</v>
      </c>
      <c r="H66" s="118">
        <v>850</v>
      </c>
      <c r="I66" s="119" t="s">
        <v>436</v>
      </c>
      <c r="J66" s="80" t="s">
        <v>432</v>
      </c>
      <c r="K66" s="40">
        <v>0</v>
      </c>
      <c r="L66" s="40">
        <v>250</v>
      </c>
      <c r="M66" s="120">
        <v>250</v>
      </c>
      <c r="N66" s="121">
        <v>0</v>
      </c>
      <c r="O66" s="121">
        <v>250</v>
      </c>
      <c r="P66" s="122"/>
      <c r="Q66" s="121"/>
      <c r="R66" s="122"/>
      <c r="S66" s="31"/>
      <c r="T66" s="32"/>
      <c r="U66" s="32"/>
      <c r="V66" s="25"/>
      <c r="W66" s="20"/>
      <c r="X66" s="20"/>
      <c r="Y66" s="20"/>
    </row>
    <row r="67" spans="1:25" x14ac:dyDescent="0.25">
      <c r="A67" s="20">
        <v>65</v>
      </c>
      <c r="B67" s="117">
        <v>46261</v>
      </c>
      <c r="C67" s="80" t="s">
        <v>448</v>
      </c>
      <c r="D67" s="18" t="s">
        <v>543</v>
      </c>
      <c r="E67" s="18">
        <v>1</v>
      </c>
      <c r="F67" s="81" t="s">
        <v>87</v>
      </c>
      <c r="G67" s="30">
        <v>148596</v>
      </c>
      <c r="H67" s="118">
        <v>851</v>
      </c>
      <c r="I67" s="119" t="s">
        <v>436</v>
      </c>
      <c r="J67" s="80" t="s">
        <v>446</v>
      </c>
      <c r="K67" s="40">
        <v>456</v>
      </c>
      <c r="L67" s="40">
        <v>50</v>
      </c>
      <c r="M67" s="120">
        <v>506</v>
      </c>
      <c r="N67" s="121">
        <v>280.97000000000003</v>
      </c>
      <c r="O67" s="121">
        <v>225.03</v>
      </c>
      <c r="P67" s="122"/>
      <c r="Q67" s="121">
        <v>175.03</v>
      </c>
      <c r="R67" s="122"/>
      <c r="S67" s="31"/>
      <c r="T67" s="32" t="s">
        <v>514</v>
      </c>
      <c r="U67" s="32"/>
      <c r="V67" s="25"/>
      <c r="W67" s="20"/>
      <c r="X67" s="20"/>
      <c r="Y67" s="20"/>
    </row>
    <row r="68" spans="1:25" x14ac:dyDescent="0.25">
      <c r="A68" s="20">
        <v>66</v>
      </c>
      <c r="B68" s="117">
        <v>46263</v>
      </c>
      <c r="C68" s="80" t="s">
        <v>448</v>
      </c>
      <c r="D68" s="18" t="s">
        <v>543</v>
      </c>
      <c r="E68" s="18">
        <v>1</v>
      </c>
      <c r="F68" s="81" t="s">
        <v>513</v>
      </c>
      <c r="G68" s="30">
        <v>156276</v>
      </c>
      <c r="H68" s="118">
        <v>852</v>
      </c>
      <c r="I68" s="119" t="s">
        <v>436</v>
      </c>
      <c r="J68" s="80" t="s">
        <v>431</v>
      </c>
      <c r="K68" s="40">
        <v>566</v>
      </c>
      <c r="L68" s="40">
        <v>50</v>
      </c>
      <c r="M68" s="120">
        <v>616</v>
      </c>
      <c r="N68" s="121">
        <v>390.97</v>
      </c>
      <c r="O68" s="121">
        <v>225.03</v>
      </c>
      <c r="P68" s="122"/>
      <c r="Q68" s="121">
        <v>175.03</v>
      </c>
      <c r="R68" s="122"/>
      <c r="S68" s="31"/>
      <c r="T68" s="32" t="s">
        <v>514</v>
      </c>
      <c r="U68" s="32"/>
      <c r="V68" s="25"/>
      <c r="W68" s="20"/>
      <c r="X68" s="20"/>
      <c r="Y68" s="20"/>
    </row>
    <row r="69" spans="1:25" x14ac:dyDescent="0.25">
      <c r="A69" s="20">
        <v>67</v>
      </c>
      <c r="B69" s="117">
        <v>46263</v>
      </c>
      <c r="C69" s="80" t="s">
        <v>444</v>
      </c>
      <c r="D69" s="18" t="s">
        <v>502</v>
      </c>
      <c r="E69" s="18">
        <v>1</v>
      </c>
      <c r="F69" s="81" t="s">
        <v>529</v>
      </c>
      <c r="G69" s="30">
        <v>143831</v>
      </c>
      <c r="H69" s="118">
        <v>200</v>
      </c>
      <c r="I69" s="119" t="s">
        <v>424</v>
      </c>
      <c r="J69" s="80" t="s">
        <v>431</v>
      </c>
      <c r="K69" s="40">
        <v>175</v>
      </c>
      <c r="L69" s="40">
        <v>45</v>
      </c>
      <c r="M69" s="120">
        <v>220</v>
      </c>
      <c r="N69" s="121">
        <v>151.97</v>
      </c>
      <c r="O69" s="121">
        <v>68.03</v>
      </c>
      <c r="P69" s="122"/>
      <c r="Q69" s="121">
        <v>23.03</v>
      </c>
      <c r="R69" s="122"/>
      <c r="S69" s="31"/>
      <c r="T69" s="32" t="s">
        <v>514</v>
      </c>
      <c r="U69" s="32"/>
      <c r="V69" s="25"/>
      <c r="W69" s="20"/>
      <c r="X69" s="20"/>
      <c r="Y69" s="20"/>
    </row>
    <row r="70" spans="1:25" x14ac:dyDescent="0.25">
      <c r="A70" s="20">
        <v>68</v>
      </c>
      <c r="B70" s="117">
        <v>46263</v>
      </c>
      <c r="C70" s="80" t="s">
        <v>448</v>
      </c>
      <c r="D70" s="18" t="s">
        <v>543</v>
      </c>
      <c r="E70" s="18">
        <v>1</v>
      </c>
      <c r="F70" s="81" t="s">
        <v>513</v>
      </c>
      <c r="G70" s="30">
        <v>311474</v>
      </c>
      <c r="H70" s="118">
        <v>853</v>
      </c>
      <c r="I70" s="119" t="s">
        <v>436</v>
      </c>
      <c r="J70" s="80" t="s">
        <v>431</v>
      </c>
      <c r="K70" s="40">
        <v>120</v>
      </c>
      <c r="L70" s="40">
        <v>20</v>
      </c>
      <c r="M70" s="120">
        <v>140</v>
      </c>
      <c r="N70" s="121">
        <v>73.94</v>
      </c>
      <c r="O70" s="121">
        <v>66.06</v>
      </c>
      <c r="P70" s="122"/>
      <c r="Q70" s="121">
        <v>46.06</v>
      </c>
      <c r="R70" s="122"/>
      <c r="S70" s="31"/>
      <c r="T70" s="32" t="s">
        <v>514</v>
      </c>
      <c r="U70" s="32"/>
      <c r="V70" s="25"/>
      <c r="W70" s="20"/>
      <c r="X70" s="20"/>
      <c r="Y70" s="20"/>
    </row>
    <row r="71" spans="1:25" x14ac:dyDescent="0.25">
      <c r="A71" s="20">
        <v>69</v>
      </c>
      <c r="B71" s="117">
        <v>46263</v>
      </c>
      <c r="C71" s="80" t="s">
        <v>448</v>
      </c>
      <c r="D71" s="18" t="s">
        <v>543</v>
      </c>
      <c r="E71" s="18">
        <v>1</v>
      </c>
      <c r="F71" s="85" t="s">
        <v>553</v>
      </c>
      <c r="G71" s="30">
        <v>171808</v>
      </c>
      <c r="H71" s="118">
        <v>854</v>
      </c>
      <c r="I71" s="119" t="s">
        <v>436</v>
      </c>
      <c r="J71" s="80"/>
      <c r="K71" s="40"/>
      <c r="L71" s="40"/>
      <c r="M71" s="120"/>
      <c r="N71" s="121"/>
      <c r="O71" s="121"/>
      <c r="P71" s="122"/>
      <c r="Q71" s="121"/>
      <c r="R71" s="122"/>
      <c r="S71" s="31"/>
      <c r="T71" s="124" t="s">
        <v>421</v>
      </c>
      <c r="U71" s="32"/>
      <c r="V71" s="25"/>
      <c r="W71" s="20"/>
      <c r="X71" s="20"/>
      <c r="Y71" s="20"/>
    </row>
    <row r="72" spans="1:25" x14ac:dyDescent="0.25">
      <c r="A72" s="20">
        <v>70</v>
      </c>
      <c r="B72" s="117">
        <v>46263</v>
      </c>
      <c r="C72" s="80" t="s">
        <v>448</v>
      </c>
      <c r="D72" s="18" t="s">
        <v>80</v>
      </c>
      <c r="E72" s="18">
        <v>1</v>
      </c>
      <c r="F72" s="81" t="s">
        <v>87</v>
      </c>
      <c r="G72" s="30">
        <v>316986</v>
      </c>
      <c r="H72" s="118">
        <v>855</v>
      </c>
      <c r="I72" s="119" t="s">
        <v>436</v>
      </c>
      <c r="J72" s="80" t="s">
        <v>446</v>
      </c>
      <c r="K72" s="40"/>
      <c r="L72" s="40"/>
      <c r="M72" s="120"/>
      <c r="N72" s="121"/>
      <c r="O72" s="121"/>
      <c r="P72" s="122"/>
      <c r="Q72" s="121"/>
      <c r="R72" s="122"/>
      <c r="S72" s="31"/>
      <c r="T72" s="32"/>
      <c r="U72" s="32"/>
      <c r="V72" s="25"/>
      <c r="W72" s="20"/>
      <c r="X72" s="20"/>
      <c r="Y72" s="20"/>
    </row>
    <row r="73" spans="1:25" x14ac:dyDescent="0.25">
      <c r="A73" s="20">
        <v>71</v>
      </c>
      <c r="B73" s="117">
        <v>46263</v>
      </c>
      <c r="C73" s="80" t="s">
        <v>469</v>
      </c>
      <c r="D73" s="18" t="s">
        <v>80</v>
      </c>
      <c r="E73" s="18">
        <v>1</v>
      </c>
      <c r="F73" s="81" t="s">
        <v>556</v>
      </c>
      <c r="G73" s="30">
        <v>208845</v>
      </c>
      <c r="H73" s="118">
        <v>856</v>
      </c>
      <c r="I73" s="119" t="s">
        <v>465</v>
      </c>
      <c r="J73" s="80" t="s">
        <v>432</v>
      </c>
      <c r="K73" s="40">
        <v>0</v>
      </c>
      <c r="L73" s="40">
        <v>0</v>
      </c>
      <c r="M73" s="120">
        <v>0</v>
      </c>
      <c r="N73" s="121">
        <v>0</v>
      </c>
      <c r="O73" s="121">
        <v>0</v>
      </c>
      <c r="P73" s="122"/>
      <c r="Q73" s="121">
        <v>0</v>
      </c>
      <c r="R73" s="122"/>
      <c r="S73" s="31"/>
      <c r="T73" s="32" t="s">
        <v>514</v>
      </c>
      <c r="U73" s="32"/>
      <c r="V73" s="25"/>
      <c r="W73" s="20" t="s">
        <v>94</v>
      </c>
      <c r="X73" s="20"/>
      <c r="Y73" s="20"/>
    </row>
    <row r="74" spans="1:25" x14ac:dyDescent="0.25">
      <c r="A74" s="20">
        <v>72</v>
      </c>
      <c r="B74" s="117"/>
      <c r="C74" s="80"/>
      <c r="D74" s="18"/>
      <c r="E74" s="18"/>
      <c r="F74" s="81"/>
      <c r="G74" s="30"/>
      <c r="H74" s="118"/>
      <c r="I74" s="119"/>
      <c r="J74" s="80"/>
      <c r="K74" s="40"/>
      <c r="L74" s="40"/>
      <c r="M74" s="120"/>
      <c r="N74" s="121"/>
      <c r="O74" s="121"/>
      <c r="P74" s="122"/>
      <c r="Q74" s="121"/>
      <c r="R74" s="122"/>
      <c r="S74" s="31"/>
      <c r="T74" s="32"/>
      <c r="U74" s="32"/>
      <c r="V74" s="25"/>
      <c r="W74" s="20"/>
      <c r="X74" s="20"/>
      <c r="Y74" s="20"/>
    </row>
    <row r="75" spans="1:25" x14ac:dyDescent="0.25">
      <c r="A75" s="20">
        <v>73</v>
      </c>
      <c r="B75" s="117"/>
      <c r="C75" s="80"/>
      <c r="D75" s="18"/>
      <c r="E75" s="18"/>
      <c r="F75" s="81"/>
      <c r="G75" s="30"/>
      <c r="H75" s="118"/>
      <c r="I75" s="119"/>
      <c r="J75" s="80"/>
      <c r="K75" s="40"/>
      <c r="L75" s="40"/>
      <c r="M75" s="120"/>
      <c r="N75" s="121"/>
      <c r="O75" s="121"/>
      <c r="P75" s="122"/>
      <c r="Q75" s="121"/>
      <c r="R75" s="122"/>
      <c r="S75" s="31"/>
      <c r="T75" s="32"/>
      <c r="U75" s="32"/>
      <c r="V75" s="25"/>
      <c r="W75" s="20"/>
      <c r="X75" s="20"/>
      <c r="Y75" s="20"/>
    </row>
    <row r="76" spans="1:25" x14ac:dyDescent="0.25">
      <c r="A76" s="20">
        <v>74</v>
      </c>
      <c r="B76" s="117"/>
      <c r="C76" s="80" t="s">
        <v>448</v>
      </c>
      <c r="D76" s="18"/>
      <c r="E76" s="18"/>
      <c r="F76" s="81" t="s">
        <v>555</v>
      </c>
      <c r="G76" s="30"/>
      <c r="H76" s="118"/>
      <c r="I76" s="119"/>
      <c r="J76" s="80"/>
      <c r="K76" s="40"/>
      <c r="L76" s="40"/>
      <c r="M76" s="120">
        <v>8000</v>
      </c>
      <c r="N76" s="121"/>
      <c r="O76" s="121">
        <v>8000</v>
      </c>
      <c r="P76" s="122"/>
      <c r="Q76" s="121">
        <v>0</v>
      </c>
      <c r="R76" s="122"/>
      <c r="S76" s="31"/>
      <c r="T76" s="32"/>
      <c r="U76" s="32"/>
      <c r="V76" s="25"/>
      <c r="W76" s="20"/>
      <c r="X76" s="20"/>
      <c r="Y76" s="20"/>
    </row>
    <row r="77" spans="1:25" x14ac:dyDescent="0.25">
      <c r="A77" s="20"/>
      <c r="B77" s="106"/>
      <c r="C77" s="82" t="s">
        <v>95</v>
      </c>
      <c r="D77" s="38"/>
      <c r="E77" s="38"/>
      <c r="F77" s="82"/>
      <c r="G77" s="38"/>
      <c r="H77" s="111"/>
      <c r="I77" s="112"/>
      <c r="J77" s="83"/>
      <c r="K77" s="123">
        <f>SUM(K2:K76)</f>
        <v>15000.5</v>
      </c>
      <c r="L77" s="123">
        <f>SUM(L2:L76)</f>
        <v>11117.5</v>
      </c>
      <c r="M77" s="111">
        <f>SUM(M2:M76)</f>
        <v>34118</v>
      </c>
      <c r="N77" s="111">
        <f>SUM(N2:N76)</f>
        <v>13318.99</v>
      </c>
      <c r="O77" s="111">
        <f>SUM(O2:O76)</f>
        <v>20799.05</v>
      </c>
      <c r="P77" s="113"/>
      <c r="Q77" s="111">
        <f>SUM(Q2:Q76)</f>
        <v>1681.54</v>
      </c>
      <c r="R77" s="114"/>
      <c r="S77" s="25"/>
      <c r="T77" s="25"/>
      <c r="U77" s="25"/>
      <c r="V77" s="25"/>
      <c r="W77" s="20"/>
      <c r="X77" s="20"/>
      <c r="Y77" s="20"/>
    </row>
    <row r="78" spans="1:25" x14ac:dyDescent="0.25">
      <c r="A78" s="20"/>
      <c r="B78" s="68"/>
      <c r="C78" s="82"/>
      <c r="D78" s="38"/>
      <c r="E78" s="38"/>
      <c r="F78" s="82"/>
      <c r="G78" s="38"/>
      <c r="H78" s="38"/>
      <c r="I78" s="82"/>
      <c r="J78" s="82"/>
      <c r="K78" s="26"/>
      <c r="L78" s="26"/>
      <c r="M78" s="26"/>
      <c r="N78" s="26"/>
      <c r="O78" s="26"/>
      <c r="P78" s="104"/>
      <c r="Q78" s="26"/>
      <c r="R78" s="41" t="s">
        <v>463</v>
      </c>
      <c r="S78" s="42" t="s">
        <v>29</v>
      </c>
      <c r="T78" s="25"/>
      <c r="U78" s="25"/>
      <c r="V78" s="20"/>
      <c r="W78" s="20"/>
      <c r="X78" s="20"/>
      <c r="Y78" s="20"/>
    </row>
    <row r="79" spans="1:25" x14ac:dyDescent="0.25">
      <c r="A79" s="20"/>
      <c r="B79" s="68"/>
      <c r="C79" s="81"/>
      <c r="D79" s="25"/>
      <c r="E79" s="43"/>
      <c r="F79" s="87"/>
      <c r="G79" s="43"/>
      <c r="H79" s="43"/>
      <c r="I79" s="87"/>
      <c r="J79" s="87" t="s">
        <v>85</v>
      </c>
      <c r="K79" s="44"/>
      <c r="L79" s="44"/>
      <c r="M79" s="44"/>
      <c r="N79" s="44"/>
      <c r="O79" s="44"/>
      <c r="P79" s="44"/>
      <c r="Q79" s="28"/>
      <c r="R79" s="45" t="s">
        <v>96</v>
      </c>
      <c r="S79" s="15">
        <v>4000</v>
      </c>
      <c r="T79" s="25"/>
      <c r="U79" s="25"/>
      <c r="V79" s="20"/>
      <c r="W79" s="20"/>
      <c r="X79" s="20"/>
      <c r="Y79" s="20"/>
    </row>
    <row r="80" spans="1:25" x14ac:dyDescent="0.25">
      <c r="A80" s="20"/>
      <c r="B80" s="68"/>
      <c r="C80" s="81"/>
      <c r="D80" s="25"/>
      <c r="E80" s="43"/>
      <c r="F80" s="87"/>
      <c r="G80" s="43"/>
      <c r="H80" s="43"/>
      <c r="I80" s="87"/>
      <c r="J80" s="87"/>
      <c r="K80" s="44"/>
      <c r="L80" s="44"/>
      <c r="M80" s="44"/>
      <c r="N80" s="44"/>
      <c r="O80" s="44"/>
      <c r="P80" s="44"/>
      <c r="Q80" s="28"/>
      <c r="R80" s="45" t="s">
        <v>97</v>
      </c>
      <c r="S80" s="15">
        <v>750</v>
      </c>
      <c r="T80" s="25"/>
      <c r="U80" s="25"/>
      <c r="V80" s="20"/>
      <c r="W80" s="20"/>
      <c r="X80" s="20"/>
      <c r="Y80" s="20"/>
    </row>
    <row r="81" spans="1:25" x14ac:dyDescent="0.25">
      <c r="A81" s="20"/>
      <c r="B81" s="68"/>
      <c r="C81" s="81"/>
      <c r="D81" s="25"/>
      <c r="E81" s="43"/>
      <c r="F81" s="87"/>
      <c r="G81" s="43"/>
      <c r="H81" s="43"/>
      <c r="I81" s="87"/>
      <c r="J81" s="87"/>
      <c r="K81" s="44"/>
      <c r="L81" s="44"/>
      <c r="M81" s="44"/>
      <c r="N81" s="44"/>
      <c r="O81" s="44"/>
      <c r="P81" s="44"/>
      <c r="Q81" s="28"/>
      <c r="R81" s="45" t="s">
        <v>32</v>
      </c>
      <c r="S81" s="15">
        <v>2300</v>
      </c>
      <c r="T81" s="25"/>
      <c r="U81" s="25"/>
      <c r="V81" s="20"/>
      <c r="W81" s="20"/>
      <c r="X81" s="20"/>
      <c r="Y81" s="20"/>
    </row>
    <row r="82" spans="1:25" x14ac:dyDescent="0.25">
      <c r="A82" s="20"/>
      <c r="B82" s="68"/>
      <c r="C82" s="81"/>
      <c r="D82" s="25"/>
      <c r="E82" s="43"/>
      <c r="F82" s="87"/>
      <c r="G82" s="43"/>
      <c r="H82" s="43"/>
      <c r="I82" s="87"/>
      <c r="J82" s="100"/>
      <c r="K82" s="46"/>
      <c r="L82" s="46"/>
      <c r="M82" s="46"/>
      <c r="N82" s="101"/>
      <c r="O82" s="44"/>
      <c r="P82" s="56"/>
      <c r="Q82" s="28"/>
      <c r="R82" s="45" t="s">
        <v>460</v>
      </c>
      <c r="S82" s="15">
        <v>1450</v>
      </c>
      <c r="T82" s="25"/>
      <c r="U82" s="25"/>
      <c r="V82" s="20"/>
      <c r="W82" s="20"/>
      <c r="X82" s="20"/>
      <c r="Y82" s="20"/>
    </row>
    <row r="83" spans="1:25" x14ac:dyDescent="0.25">
      <c r="A83" s="20"/>
      <c r="B83" s="68"/>
      <c r="C83" s="81"/>
      <c r="D83" s="25"/>
      <c r="E83" s="43"/>
      <c r="F83" s="87"/>
      <c r="G83" s="43"/>
      <c r="H83" s="43"/>
      <c r="I83" s="87"/>
      <c r="J83" s="100"/>
      <c r="K83" s="46"/>
      <c r="L83" s="46"/>
      <c r="M83" s="46"/>
      <c r="N83" s="46"/>
      <c r="O83" s="46"/>
      <c r="P83" s="57"/>
      <c r="Q83" s="28"/>
      <c r="R83" s="45" t="s">
        <v>34</v>
      </c>
      <c r="S83" s="15">
        <v>2500</v>
      </c>
      <c r="T83" s="25"/>
      <c r="U83" s="25"/>
      <c r="V83" s="20"/>
      <c r="W83" s="20"/>
      <c r="X83" s="20"/>
      <c r="Y83" s="20"/>
    </row>
    <row r="84" spans="1:25" x14ac:dyDescent="0.25">
      <c r="A84" s="20"/>
      <c r="B84" s="68"/>
      <c r="C84" s="81"/>
      <c r="D84" s="25"/>
      <c r="E84" s="43"/>
      <c r="F84" s="18" t="s">
        <v>547</v>
      </c>
      <c r="G84" s="43"/>
      <c r="H84" s="43"/>
      <c r="I84" s="87"/>
      <c r="J84" s="87"/>
      <c r="K84" s="44"/>
      <c r="L84" s="44"/>
      <c r="M84" s="46"/>
      <c r="N84" s="44"/>
      <c r="O84" s="44"/>
      <c r="P84" s="56"/>
      <c r="Q84" s="28"/>
      <c r="R84" s="45" t="s">
        <v>98</v>
      </c>
      <c r="S84" s="15">
        <v>4200</v>
      </c>
      <c r="T84" s="25"/>
      <c r="U84" s="25"/>
      <c r="V84" s="20"/>
      <c r="W84" s="20"/>
      <c r="X84" s="20"/>
      <c r="Y84" s="20"/>
    </row>
    <row r="85" spans="1:25" x14ac:dyDescent="0.25">
      <c r="A85" s="20"/>
      <c r="B85" s="68"/>
      <c r="C85" s="81"/>
      <c r="D85" s="25"/>
      <c r="E85" s="43"/>
      <c r="F85" s="87"/>
      <c r="G85" s="43"/>
      <c r="H85" s="43"/>
      <c r="I85" s="87"/>
      <c r="J85" s="87"/>
      <c r="K85" s="44"/>
      <c r="L85" s="44"/>
      <c r="M85" s="44"/>
      <c r="N85" s="44"/>
      <c r="O85" s="44"/>
      <c r="P85" s="56"/>
      <c r="Q85" s="28"/>
      <c r="R85" s="45" t="s">
        <v>36</v>
      </c>
      <c r="S85" s="15">
        <v>2000</v>
      </c>
      <c r="T85" s="25"/>
      <c r="U85" s="25"/>
      <c r="V85" s="20"/>
      <c r="W85" s="20"/>
      <c r="X85" s="20"/>
      <c r="Y85" s="20"/>
    </row>
    <row r="86" spans="1:25" x14ac:dyDescent="0.25">
      <c r="A86" s="20"/>
      <c r="B86" s="68"/>
      <c r="C86" s="81"/>
      <c r="D86" s="25"/>
      <c r="E86" s="43"/>
      <c r="F86" s="87"/>
      <c r="G86" s="43"/>
      <c r="H86" s="43"/>
      <c r="I86" s="87"/>
      <c r="J86" s="87"/>
      <c r="K86" s="44"/>
      <c r="L86" s="44"/>
      <c r="M86" s="44"/>
      <c r="N86" s="46"/>
      <c r="O86" s="44"/>
      <c r="P86" s="56"/>
      <c r="Q86" s="28"/>
      <c r="R86" s="45" t="s">
        <v>99</v>
      </c>
      <c r="S86" s="15">
        <v>82</v>
      </c>
      <c r="T86" s="25"/>
      <c r="U86" s="25"/>
      <c r="V86" s="20"/>
      <c r="W86" s="20"/>
      <c r="X86" s="20"/>
      <c r="Y86" s="20"/>
    </row>
    <row r="87" spans="1:25" x14ac:dyDescent="0.25">
      <c r="A87" s="20"/>
      <c r="B87" s="68"/>
      <c r="C87" s="81"/>
      <c r="D87" s="25"/>
      <c r="E87" s="43"/>
      <c r="F87" s="87"/>
      <c r="G87" s="43"/>
      <c r="H87" s="43"/>
      <c r="I87" s="87"/>
      <c r="J87" s="87"/>
      <c r="K87" s="44"/>
      <c r="L87" s="44"/>
      <c r="M87" s="44"/>
      <c r="N87" s="44"/>
      <c r="O87" s="44"/>
      <c r="P87" s="56"/>
      <c r="Q87" s="28"/>
      <c r="R87" s="45" t="s">
        <v>427</v>
      </c>
      <c r="S87" s="15">
        <v>78</v>
      </c>
      <c r="T87" s="25"/>
      <c r="U87" s="25"/>
      <c r="V87" s="20"/>
      <c r="W87" s="20"/>
      <c r="X87" s="20"/>
      <c r="Y87" s="20"/>
    </row>
    <row r="88" spans="1:25" x14ac:dyDescent="0.25">
      <c r="A88" s="20"/>
      <c r="B88" s="68"/>
      <c r="C88" s="81"/>
      <c r="D88" s="25"/>
      <c r="E88" s="43"/>
      <c r="F88" s="87"/>
      <c r="G88" s="43"/>
      <c r="H88" s="43"/>
      <c r="I88" s="87"/>
      <c r="J88" s="87"/>
      <c r="K88" s="44"/>
      <c r="L88" s="44"/>
      <c r="M88" s="44"/>
      <c r="N88" s="44"/>
      <c r="O88" s="44"/>
      <c r="P88" s="56"/>
      <c r="Q88" s="28"/>
      <c r="R88" s="45" t="s">
        <v>100</v>
      </c>
      <c r="S88" s="15">
        <v>156</v>
      </c>
      <c r="T88" s="25"/>
      <c r="U88" s="25"/>
      <c r="V88" s="20"/>
      <c r="W88" s="20"/>
      <c r="X88" s="20"/>
      <c r="Y88" s="20"/>
    </row>
    <row r="89" spans="1:25" x14ac:dyDescent="0.25">
      <c r="A89" s="20"/>
      <c r="B89" s="68"/>
      <c r="C89" s="81"/>
      <c r="D89" s="25"/>
      <c r="E89" s="43"/>
      <c r="F89" s="87"/>
      <c r="G89" s="43"/>
      <c r="H89" s="43"/>
      <c r="I89" s="87"/>
      <c r="J89" s="87"/>
      <c r="K89" s="44"/>
      <c r="L89" s="44"/>
      <c r="M89" s="44"/>
      <c r="N89" s="44"/>
      <c r="O89" s="44"/>
      <c r="P89" s="56"/>
      <c r="Q89" s="28"/>
      <c r="R89" s="45" t="s">
        <v>101</v>
      </c>
      <c r="S89" s="15">
        <v>400</v>
      </c>
      <c r="T89" s="25"/>
      <c r="U89" s="25"/>
      <c r="V89" s="20"/>
      <c r="W89" s="20"/>
      <c r="X89" s="20"/>
      <c r="Y89" s="20"/>
    </row>
    <row r="90" spans="1:25" x14ac:dyDescent="0.25">
      <c r="A90" s="20"/>
      <c r="B90" s="68"/>
      <c r="C90" s="81"/>
      <c r="D90" s="25"/>
      <c r="E90" s="43"/>
      <c r="F90" s="87"/>
      <c r="G90" s="43"/>
      <c r="H90" s="43"/>
      <c r="I90" s="87"/>
      <c r="J90" s="87"/>
      <c r="K90" s="44"/>
      <c r="L90" s="44"/>
      <c r="M90" s="46"/>
      <c r="N90" s="44"/>
      <c r="O90" s="44"/>
      <c r="P90" s="56"/>
      <c r="Q90" s="28"/>
      <c r="R90" s="45" t="s">
        <v>102</v>
      </c>
      <c r="S90" s="15">
        <v>200</v>
      </c>
      <c r="T90" s="25"/>
      <c r="U90" s="25"/>
      <c r="V90" s="20"/>
      <c r="W90" s="20"/>
      <c r="X90" s="20"/>
      <c r="Y90" s="20"/>
    </row>
    <row r="91" spans="1:25" x14ac:dyDescent="0.25">
      <c r="A91" s="20"/>
      <c r="B91" s="68"/>
      <c r="C91" s="81"/>
      <c r="D91" s="25"/>
      <c r="E91" s="43"/>
      <c r="F91" s="87"/>
      <c r="G91" s="43"/>
      <c r="H91" s="43"/>
      <c r="I91" s="87"/>
      <c r="J91" s="87"/>
      <c r="K91" s="44"/>
      <c r="L91" s="44"/>
      <c r="M91" s="44"/>
      <c r="N91" s="44"/>
      <c r="O91" s="44"/>
      <c r="P91" s="56"/>
      <c r="Q91" s="28"/>
      <c r="R91" s="45" t="s">
        <v>426</v>
      </c>
      <c r="S91" s="15">
        <v>4000</v>
      </c>
      <c r="T91" s="25"/>
      <c r="U91" s="25"/>
      <c r="V91" s="20"/>
      <c r="W91" s="20"/>
      <c r="X91" s="20"/>
      <c r="Y91" s="20"/>
    </row>
    <row r="92" spans="1:25" x14ac:dyDescent="0.25">
      <c r="A92" s="20"/>
      <c r="B92" s="68"/>
      <c r="C92" s="81"/>
      <c r="D92" s="25"/>
      <c r="E92" s="43"/>
      <c r="F92" s="87"/>
      <c r="G92" s="43"/>
      <c r="H92" s="43"/>
      <c r="I92" s="87"/>
      <c r="J92" s="87"/>
      <c r="K92" s="44"/>
      <c r="L92" s="44"/>
      <c r="M92" s="44"/>
      <c r="N92" s="44"/>
      <c r="O92" s="44"/>
      <c r="P92" s="56"/>
      <c r="Q92" s="28"/>
      <c r="R92" s="45" t="s">
        <v>37</v>
      </c>
      <c r="S92" s="15">
        <v>810.31</v>
      </c>
      <c r="T92" s="25"/>
      <c r="U92" s="25"/>
      <c r="V92" s="20"/>
      <c r="W92" s="20"/>
      <c r="X92" s="20"/>
      <c r="Y92" s="20"/>
    </row>
    <row r="93" spans="1:25" x14ac:dyDescent="0.25">
      <c r="A93" s="20"/>
      <c r="B93" s="68"/>
      <c r="C93" s="81"/>
      <c r="D93" s="25"/>
      <c r="E93" s="43"/>
      <c r="F93" s="87"/>
      <c r="G93" s="43"/>
      <c r="H93" s="43"/>
      <c r="I93" s="87"/>
      <c r="J93" s="87"/>
      <c r="K93" s="44"/>
      <c r="L93" s="44"/>
      <c r="M93" s="44"/>
      <c r="N93" s="44"/>
      <c r="O93" s="44"/>
      <c r="P93" s="56"/>
      <c r="Q93" s="28"/>
      <c r="R93" s="45" t="s">
        <v>38</v>
      </c>
      <c r="S93" s="15">
        <v>200</v>
      </c>
      <c r="T93" s="25"/>
      <c r="U93" s="25"/>
      <c r="V93" s="20"/>
      <c r="W93" s="20"/>
      <c r="X93" s="20"/>
      <c r="Y93" s="20"/>
    </row>
    <row r="94" spans="1:25" x14ac:dyDescent="0.25">
      <c r="A94" s="20"/>
      <c r="B94" s="39"/>
      <c r="C94" s="81"/>
      <c r="D94" s="25"/>
      <c r="E94" s="43"/>
      <c r="F94" s="87"/>
      <c r="G94" s="43"/>
      <c r="H94" s="43"/>
      <c r="I94" s="87"/>
      <c r="J94" s="87"/>
      <c r="K94" s="44"/>
      <c r="L94" s="44"/>
      <c r="M94" s="44"/>
      <c r="N94" s="44"/>
      <c r="O94" s="44"/>
      <c r="P94" s="56"/>
      <c r="Q94" s="28"/>
      <c r="R94" s="45" t="s">
        <v>39</v>
      </c>
      <c r="S94" s="15">
        <v>0</v>
      </c>
      <c r="T94" s="25"/>
      <c r="U94" s="25"/>
      <c r="V94" s="20"/>
      <c r="W94" s="20"/>
      <c r="X94" s="20"/>
      <c r="Y94" s="20"/>
    </row>
    <row r="95" spans="1:25" x14ac:dyDescent="0.25">
      <c r="A95" s="20"/>
      <c r="B95" s="39"/>
      <c r="C95" s="81"/>
      <c r="D95" s="25"/>
      <c r="E95" s="43"/>
      <c r="F95" s="87"/>
      <c r="G95" s="43"/>
      <c r="H95" s="43"/>
      <c r="I95" s="87"/>
      <c r="J95" s="87"/>
      <c r="K95" s="44"/>
      <c r="L95" s="44"/>
      <c r="M95" s="44"/>
      <c r="N95" s="44"/>
      <c r="O95" s="44"/>
      <c r="P95" s="56"/>
      <c r="Q95" s="28"/>
      <c r="R95" s="45" t="s">
        <v>103</v>
      </c>
      <c r="S95" s="15">
        <v>35</v>
      </c>
      <c r="T95" s="25"/>
      <c r="U95" s="25"/>
      <c r="V95" s="20"/>
      <c r="W95" s="20"/>
      <c r="X95" s="20"/>
      <c r="Y95" s="20"/>
    </row>
    <row r="96" spans="1:25" x14ac:dyDescent="0.25">
      <c r="B96" s="69"/>
      <c r="C96" s="83"/>
      <c r="D96" s="20"/>
      <c r="E96" s="44"/>
      <c r="F96" s="88"/>
      <c r="G96" s="47"/>
      <c r="H96" s="47"/>
      <c r="I96" s="88"/>
      <c r="J96" s="88"/>
      <c r="K96" s="44"/>
      <c r="L96" s="44"/>
      <c r="M96" s="44"/>
      <c r="N96" s="44"/>
      <c r="O96" s="44"/>
      <c r="P96" s="56"/>
      <c r="Q96" s="48"/>
      <c r="R96" s="49" t="s">
        <v>463</v>
      </c>
      <c r="S96" s="50">
        <f>SUM(S79:S95)</f>
        <v>23161.31</v>
      </c>
      <c r="T96" s="20"/>
      <c r="U96" s="20"/>
      <c r="V96" s="20"/>
      <c r="W96" s="20"/>
      <c r="X96" s="20"/>
      <c r="Y96" s="54"/>
    </row>
    <row r="97" spans="2:24" x14ac:dyDescent="0.25">
      <c r="B97" s="69"/>
      <c r="C97" s="83"/>
      <c r="D97" s="20"/>
      <c r="E97" s="51" t="s">
        <v>85</v>
      </c>
      <c r="F97" s="89"/>
      <c r="G97" s="51"/>
      <c r="H97" s="51"/>
      <c r="I97" s="89"/>
      <c r="J97" s="89"/>
      <c r="K97" s="51"/>
      <c r="L97" s="51"/>
      <c r="M97" s="51"/>
      <c r="N97" s="51"/>
      <c r="O97" s="51"/>
      <c r="P97" s="58"/>
      <c r="Q97" s="51"/>
      <c r="R97" s="52" t="s">
        <v>104</v>
      </c>
      <c r="S97" s="53">
        <f>O77-S96</f>
        <v>-2362.260000000002</v>
      </c>
      <c r="T97" s="20"/>
      <c r="U97" s="20"/>
      <c r="V97" s="20"/>
      <c r="W97" s="20"/>
      <c r="X97" s="20"/>
    </row>
  </sheetData>
  <autoFilter ref="A1:Z77" xr:uid="{706543B0-1098-4912-9D69-99539A100108}"/>
  <conditionalFormatting sqref="P2:P76 T2:T19 R4:R76">
    <cfRule type="containsText" dxfId="7" priority="11" operator="containsText" text="Overdue">
      <formula>NOT(ISERROR(SEARCH("Overdue",P2)))</formula>
    </cfRule>
  </conditionalFormatting>
  <conditionalFormatting sqref="P2:Q3">
    <cfRule type="containsText" dxfId="6" priority="10" operator="containsText" text="Paid">
      <formula>NOT(ISERROR(SEARCH("Paid",P2)))</formula>
    </cfRule>
  </conditionalFormatting>
  <conditionalFormatting sqref="Q2:Q3 S4:S76">
    <cfRule type="containsText" dxfId="5" priority="13" operator="containsText" text="Unpaid">
      <formula>NOT(ISERROR(SEARCH("Unpaid",Q2)))</formula>
    </cfRule>
  </conditionalFormatting>
  <conditionalFormatting sqref="T2:T19 P2:P76 R4:R76">
    <cfRule type="containsText" dxfId="4" priority="12" operator="containsText" text="Pending">
      <formula>NOT(ISERROR(SEARCH("Pending",P2)))</formula>
    </cfRule>
  </conditionalFormatting>
  <conditionalFormatting sqref="T2:T19 P4:P76 R4:S76">
    <cfRule type="containsText" dxfId="3" priority="7" operator="containsText" text="Paid">
      <formula>NOT(ISERROR(SEARCH("Paid",P2)))</formula>
    </cfRule>
  </conditionalFormatting>
  <conditionalFormatting sqref="T21:T29">
    <cfRule type="containsText" dxfId="2" priority="1" operator="containsText" text="Paid">
      <formula>NOT(ISERROR(SEARCH("Paid",T21)))</formula>
    </cfRule>
    <cfRule type="containsText" dxfId="1" priority="2" operator="containsText" text="Overdue">
      <formula>NOT(ISERROR(SEARCH("Overdue",T21)))</formula>
    </cfRule>
    <cfRule type="containsText" dxfId="0" priority="3" operator="containsText" text="Pending">
      <formula>NOT(ISERROR(SEARCH("Pending",T21)))</formula>
    </cfRule>
  </conditionalFormatting>
  <dataValidations count="2">
    <dataValidation type="list" allowBlank="1" showInputMessage="1" showErrorMessage="1" promptTitle="Payment Status" prompt="Choose from the list" sqref="Q2:Q3 S4:S76" xr:uid="{B0D6933A-D5A6-47DD-85A6-2D9A61A4E460}">
      <formula1>"Unpaid,Partial,Paid"</formula1>
      <formula2>0</formula2>
    </dataValidation>
    <dataValidation type="list" allowBlank="1" showInputMessage="1" showErrorMessage="1" promptTitle="Invoice Status" prompt="Choose from the list" sqref="P2:P3 R4:R76" xr:uid="{7DF418C5-7EB5-41CD-ABFC-AE036D51E0C1}">
      <formula1>"Pending,Sent,Paid,Overdue"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53"/>
  <sheetViews>
    <sheetView topLeftCell="A261" workbookViewId="0">
      <selection activeCell="A262" sqref="A262"/>
    </sheetView>
  </sheetViews>
  <sheetFormatPr defaultRowHeight="15" x14ac:dyDescent="0.25"/>
  <cols>
    <col min="2" max="2" width="6.28515625" bestFit="1" customWidth="1"/>
    <col min="3" max="3" width="3" bestFit="1" customWidth="1"/>
    <col min="5" max="5" width="17" customWidth="1"/>
    <col min="9" max="9" width="16.140625" customWidth="1"/>
    <col min="10" max="10" width="13.7109375" customWidth="1"/>
  </cols>
  <sheetData>
    <row r="1" spans="1:13" ht="22.5" customHeight="1" thickTop="1" thickBot="1" x14ac:dyDescent="0.3">
      <c r="A1" s="177" t="s">
        <v>87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9"/>
    </row>
    <row r="2" spans="1:13" ht="15.75" customHeight="1" thickTop="1" x14ac:dyDescent="0.25">
      <c r="A2" s="176" t="s">
        <v>163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</row>
    <row r="3" spans="1:13" x14ac:dyDescent="0.25">
      <c r="A3" s="175" t="s">
        <v>164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</row>
    <row r="4" spans="1:13" ht="45" customHeight="1" x14ac:dyDescent="0.25">
      <c r="A4" s="10" t="s">
        <v>165</v>
      </c>
      <c r="B4" s="10" t="s">
        <v>166</v>
      </c>
      <c r="C4" s="10" t="s">
        <v>167</v>
      </c>
      <c r="D4" s="10" t="s">
        <v>19</v>
      </c>
      <c r="E4" s="10" t="s">
        <v>69</v>
      </c>
      <c r="F4" s="10" t="s">
        <v>168</v>
      </c>
      <c r="G4" s="10" t="s">
        <v>169</v>
      </c>
      <c r="H4" s="10" t="s">
        <v>170</v>
      </c>
      <c r="I4" s="10" t="s">
        <v>171</v>
      </c>
      <c r="J4" s="10" t="s">
        <v>172</v>
      </c>
      <c r="K4" s="10" t="s">
        <v>173</v>
      </c>
      <c r="L4" s="10" t="s">
        <v>174</v>
      </c>
      <c r="M4" s="10" t="s">
        <v>175</v>
      </c>
    </row>
    <row r="5" spans="1:13" ht="45" customHeight="1" x14ac:dyDescent="0.25">
      <c r="A5" s="11" t="s">
        <v>176</v>
      </c>
      <c r="B5" s="11" t="s">
        <v>177</v>
      </c>
      <c r="C5" s="11" t="s">
        <v>178</v>
      </c>
      <c r="D5" s="11" t="s">
        <v>87</v>
      </c>
      <c r="E5" s="11" t="s">
        <v>179</v>
      </c>
      <c r="F5" s="11" t="s">
        <v>180</v>
      </c>
      <c r="G5" s="11" t="s">
        <v>181</v>
      </c>
      <c r="H5" s="11" t="s">
        <v>182</v>
      </c>
      <c r="I5" s="11" t="s">
        <v>183</v>
      </c>
      <c r="J5" s="11" t="s">
        <v>184</v>
      </c>
      <c r="K5" s="11" t="s">
        <v>177</v>
      </c>
      <c r="L5" s="11" t="s">
        <v>177</v>
      </c>
      <c r="M5" s="11" t="s">
        <v>177</v>
      </c>
    </row>
    <row r="6" spans="1:13" ht="45" customHeight="1" x14ac:dyDescent="0.25">
      <c r="A6" s="11" t="s">
        <v>185</v>
      </c>
      <c r="B6" s="11" t="s">
        <v>177</v>
      </c>
      <c r="C6" s="11" t="s">
        <v>186</v>
      </c>
      <c r="D6" s="11" t="s">
        <v>87</v>
      </c>
      <c r="E6" s="11" t="s">
        <v>179</v>
      </c>
      <c r="F6" s="11" t="s">
        <v>187</v>
      </c>
      <c r="G6" s="11" t="s">
        <v>181</v>
      </c>
      <c r="H6" s="11" t="s">
        <v>182</v>
      </c>
      <c r="I6" s="11" t="s">
        <v>183</v>
      </c>
      <c r="J6" s="11" t="s">
        <v>184</v>
      </c>
      <c r="K6" s="11" t="s">
        <v>177</v>
      </c>
      <c r="L6" s="11" t="s">
        <v>177</v>
      </c>
      <c r="M6" s="11" t="s">
        <v>177</v>
      </c>
    </row>
    <row r="7" spans="1:13" ht="45" customHeight="1" x14ac:dyDescent="0.25">
      <c r="A7" s="11" t="s">
        <v>188</v>
      </c>
      <c r="B7" s="11" t="s">
        <v>177</v>
      </c>
      <c r="C7" s="11" t="s">
        <v>189</v>
      </c>
      <c r="D7" s="11" t="s">
        <v>87</v>
      </c>
      <c r="E7" s="11" t="s">
        <v>179</v>
      </c>
      <c r="F7" s="11" t="s">
        <v>190</v>
      </c>
      <c r="G7" s="11" t="s">
        <v>181</v>
      </c>
      <c r="H7" s="11" t="s">
        <v>182</v>
      </c>
      <c r="I7" s="11" t="s">
        <v>183</v>
      </c>
      <c r="J7" s="11" t="s">
        <v>184</v>
      </c>
      <c r="K7" s="11" t="s">
        <v>177</v>
      </c>
      <c r="L7" s="11" t="s">
        <v>177</v>
      </c>
      <c r="M7" s="11" t="s">
        <v>177</v>
      </c>
    </row>
    <row r="8" spans="1:13" ht="45" customHeight="1" x14ac:dyDescent="0.25">
      <c r="A8" s="11" t="s">
        <v>191</v>
      </c>
      <c r="B8" s="11" t="s">
        <v>177</v>
      </c>
      <c r="C8" s="11" t="s">
        <v>192</v>
      </c>
      <c r="D8" s="11" t="s">
        <v>87</v>
      </c>
      <c r="E8" s="11" t="s">
        <v>179</v>
      </c>
      <c r="F8" s="11" t="s">
        <v>193</v>
      </c>
      <c r="G8" s="11" t="s">
        <v>181</v>
      </c>
      <c r="H8" s="11" t="s">
        <v>182</v>
      </c>
      <c r="I8" s="11" t="s">
        <v>183</v>
      </c>
      <c r="J8" s="11" t="s">
        <v>184</v>
      </c>
      <c r="K8" s="11" t="s">
        <v>177</v>
      </c>
      <c r="L8" s="11" t="s">
        <v>177</v>
      </c>
      <c r="M8" s="11" t="s">
        <v>177</v>
      </c>
    </row>
    <row r="9" spans="1:13" ht="45" customHeight="1" x14ac:dyDescent="0.25">
      <c r="A9" s="11" t="s">
        <v>194</v>
      </c>
      <c r="B9" s="11" t="s">
        <v>177</v>
      </c>
      <c r="C9" s="11" t="s">
        <v>195</v>
      </c>
      <c r="D9" s="11" t="s">
        <v>87</v>
      </c>
      <c r="E9" s="11" t="s">
        <v>179</v>
      </c>
      <c r="F9" s="11" t="s">
        <v>196</v>
      </c>
      <c r="G9" s="11" t="s">
        <v>181</v>
      </c>
      <c r="H9" s="11" t="s">
        <v>182</v>
      </c>
      <c r="I9" s="11" t="s">
        <v>183</v>
      </c>
      <c r="J9" s="11" t="s">
        <v>184</v>
      </c>
      <c r="K9" s="11" t="s">
        <v>177</v>
      </c>
      <c r="L9" s="11" t="s">
        <v>177</v>
      </c>
      <c r="M9" s="11" t="s">
        <v>177</v>
      </c>
    </row>
    <row r="10" spans="1:13" ht="45" customHeight="1" x14ac:dyDescent="0.25">
      <c r="A10" s="11" t="s">
        <v>197</v>
      </c>
      <c r="B10" s="11" t="s">
        <v>177</v>
      </c>
      <c r="C10" s="11" t="s">
        <v>198</v>
      </c>
      <c r="D10" s="11" t="s">
        <v>87</v>
      </c>
      <c r="E10" s="11" t="s">
        <v>179</v>
      </c>
      <c r="F10" s="11" t="s">
        <v>199</v>
      </c>
      <c r="G10" s="11" t="s">
        <v>181</v>
      </c>
      <c r="H10" s="11" t="s">
        <v>182</v>
      </c>
      <c r="I10" s="11" t="s">
        <v>183</v>
      </c>
      <c r="J10" s="11" t="s">
        <v>184</v>
      </c>
      <c r="K10" s="11" t="s">
        <v>177</v>
      </c>
      <c r="L10" s="11" t="s">
        <v>177</v>
      </c>
      <c r="M10" s="11" t="s">
        <v>177</v>
      </c>
    </row>
    <row r="11" spans="1:13" ht="45" customHeight="1" x14ac:dyDescent="0.25">
      <c r="A11" s="11" t="s">
        <v>200</v>
      </c>
      <c r="B11" s="11" t="s">
        <v>177</v>
      </c>
      <c r="C11" s="11" t="s">
        <v>201</v>
      </c>
      <c r="D11" s="11" t="s">
        <v>87</v>
      </c>
      <c r="E11" s="11" t="s">
        <v>179</v>
      </c>
      <c r="F11" s="11" t="s">
        <v>202</v>
      </c>
      <c r="G11" s="11" t="s">
        <v>181</v>
      </c>
      <c r="H11" s="11" t="s">
        <v>182</v>
      </c>
      <c r="I11" s="11" t="s">
        <v>183</v>
      </c>
      <c r="J11" s="11" t="s">
        <v>184</v>
      </c>
      <c r="K11" s="11" t="s">
        <v>177</v>
      </c>
      <c r="L11" s="11" t="s">
        <v>177</v>
      </c>
      <c r="M11" s="11" t="s">
        <v>177</v>
      </c>
    </row>
    <row r="12" spans="1:13" ht="45" customHeight="1" x14ac:dyDescent="0.25">
      <c r="A12" s="11" t="s">
        <v>194</v>
      </c>
      <c r="B12" s="11" t="s">
        <v>177</v>
      </c>
      <c r="C12" s="11" t="s">
        <v>195</v>
      </c>
      <c r="D12" s="11" t="s">
        <v>87</v>
      </c>
      <c r="E12" s="11" t="s">
        <v>179</v>
      </c>
      <c r="F12" s="11" t="s">
        <v>203</v>
      </c>
      <c r="G12" s="11" t="s">
        <v>181</v>
      </c>
      <c r="H12" s="11" t="s">
        <v>182</v>
      </c>
      <c r="I12" s="11" t="s">
        <v>183</v>
      </c>
      <c r="J12" s="11" t="s">
        <v>184</v>
      </c>
      <c r="K12" s="11" t="s">
        <v>177</v>
      </c>
      <c r="L12" s="11" t="s">
        <v>177</v>
      </c>
      <c r="M12" s="11" t="s">
        <v>177</v>
      </c>
    </row>
    <row r="13" spans="1:13" ht="45" customHeight="1" x14ac:dyDescent="0.25">
      <c r="A13" s="11" t="s">
        <v>197</v>
      </c>
      <c r="B13" s="11" t="s">
        <v>177</v>
      </c>
      <c r="C13" s="11" t="s">
        <v>198</v>
      </c>
      <c r="D13" s="11" t="s">
        <v>87</v>
      </c>
      <c r="E13" s="11" t="s">
        <v>179</v>
      </c>
      <c r="F13" s="11" t="s">
        <v>204</v>
      </c>
      <c r="G13" s="11" t="s">
        <v>181</v>
      </c>
      <c r="H13" s="11" t="s">
        <v>182</v>
      </c>
      <c r="I13" s="11" t="s">
        <v>183</v>
      </c>
      <c r="J13" s="11" t="s">
        <v>184</v>
      </c>
      <c r="K13" s="11" t="s">
        <v>177</v>
      </c>
      <c r="L13" s="11" t="s">
        <v>177</v>
      </c>
      <c r="M13" s="11" t="s">
        <v>177</v>
      </c>
    </row>
    <row r="14" spans="1:13" ht="45" customHeight="1" x14ac:dyDescent="0.25">
      <c r="A14" s="11" t="s">
        <v>194</v>
      </c>
      <c r="B14" s="11" t="s">
        <v>177</v>
      </c>
      <c r="C14" s="11" t="s">
        <v>195</v>
      </c>
      <c r="D14" s="11" t="s">
        <v>87</v>
      </c>
      <c r="E14" s="11" t="s">
        <v>179</v>
      </c>
      <c r="F14" s="11" t="s">
        <v>205</v>
      </c>
      <c r="G14" s="11" t="s">
        <v>181</v>
      </c>
      <c r="H14" s="11" t="s">
        <v>182</v>
      </c>
      <c r="I14" s="11" t="s">
        <v>183</v>
      </c>
      <c r="J14" s="11" t="s">
        <v>184</v>
      </c>
      <c r="K14" s="11" t="s">
        <v>177</v>
      </c>
      <c r="L14" s="11" t="s">
        <v>177</v>
      </c>
      <c r="M14" s="11" t="s">
        <v>177</v>
      </c>
    </row>
    <row r="15" spans="1:13" ht="45" customHeight="1" x14ac:dyDescent="0.25">
      <c r="A15" s="11" t="s">
        <v>185</v>
      </c>
      <c r="B15" s="11" t="s">
        <v>177</v>
      </c>
      <c r="C15" s="11" t="s">
        <v>186</v>
      </c>
      <c r="D15" s="11" t="s">
        <v>87</v>
      </c>
      <c r="E15" s="11" t="s">
        <v>179</v>
      </c>
      <c r="F15" s="11" t="s">
        <v>206</v>
      </c>
      <c r="G15" s="11" t="s">
        <v>181</v>
      </c>
      <c r="H15" s="11" t="s">
        <v>182</v>
      </c>
      <c r="I15" s="11" t="s">
        <v>183</v>
      </c>
      <c r="J15" s="11" t="s">
        <v>184</v>
      </c>
      <c r="K15" s="11" t="s">
        <v>177</v>
      </c>
      <c r="L15" s="11" t="s">
        <v>177</v>
      </c>
      <c r="M15" s="11" t="s">
        <v>177</v>
      </c>
    </row>
    <row r="16" spans="1:13" ht="45" customHeight="1" x14ac:dyDescent="0.25">
      <c r="A16" s="11" t="s">
        <v>188</v>
      </c>
      <c r="B16" s="11" t="s">
        <v>177</v>
      </c>
      <c r="C16" s="11" t="s">
        <v>189</v>
      </c>
      <c r="D16" s="11" t="s">
        <v>87</v>
      </c>
      <c r="E16" s="11" t="s">
        <v>179</v>
      </c>
      <c r="F16" s="11" t="s">
        <v>206</v>
      </c>
      <c r="G16" s="11" t="s">
        <v>181</v>
      </c>
      <c r="H16" s="11" t="s">
        <v>182</v>
      </c>
      <c r="I16" s="11" t="s">
        <v>183</v>
      </c>
      <c r="J16" s="11" t="s">
        <v>184</v>
      </c>
      <c r="K16" s="11" t="s">
        <v>177</v>
      </c>
      <c r="L16" s="11" t="s">
        <v>177</v>
      </c>
      <c r="M16" s="11" t="s">
        <v>177</v>
      </c>
    </row>
    <row r="17" spans="1:13" ht="45" customHeight="1" x14ac:dyDescent="0.25">
      <c r="A17" s="11" t="s">
        <v>200</v>
      </c>
      <c r="B17" s="11" t="s">
        <v>177</v>
      </c>
      <c r="C17" s="11" t="s">
        <v>201</v>
      </c>
      <c r="D17" s="11" t="s">
        <v>87</v>
      </c>
      <c r="E17" s="11" t="s">
        <v>179</v>
      </c>
      <c r="F17" s="11" t="s">
        <v>207</v>
      </c>
      <c r="G17" s="11" t="s">
        <v>181</v>
      </c>
      <c r="H17" s="11" t="s">
        <v>182</v>
      </c>
      <c r="I17" s="11" t="s">
        <v>183</v>
      </c>
      <c r="J17" s="11" t="s">
        <v>184</v>
      </c>
      <c r="K17" s="11" t="s">
        <v>177</v>
      </c>
      <c r="L17" s="11" t="s">
        <v>177</v>
      </c>
      <c r="M17" s="11" t="s">
        <v>177</v>
      </c>
    </row>
    <row r="18" spans="1:13" ht="45" customHeight="1" x14ac:dyDescent="0.25">
      <c r="A18" s="11" t="s">
        <v>176</v>
      </c>
      <c r="B18" s="11" t="s">
        <v>177</v>
      </c>
      <c r="C18" s="11" t="s">
        <v>178</v>
      </c>
      <c r="D18" s="11" t="s">
        <v>87</v>
      </c>
      <c r="E18" s="11" t="s">
        <v>179</v>
      </c>
      <c r="F18" s="11" t="s">
        <v>208</v>
      </c>
      <c r="G18" s="11" t="s">
        <v>181</v>
      </c>
      <c r="H18" s="11" t="s">
        <v>182</v>
      </c>
      <c r="I18" s="11" t="s">
        <v>183</v>
      </c>
      <c r="J18" s="11" t="s">
        <v>184</v>
      </c>
      <c r="K18" s="11" t="s">
        <v>177</v>
      </c>
      <c r="L18" s="11" t="s">
        <v>177</v>
      </c>
      <c r="M18" s="11" t="s">
        <v>177</v>
      </c>
    </row>
    <row r="19" spans="1:13" ht="45" customHeight="1" x14ac:dyDescent="0.25">
      <c r="A19" s="11" t="s">
        <v>197</v>
      </c>
      <c r="B19" s="11" t="s">
        <v>177</v>
      </c>
      <c r="C19" s="11" t="s">
        <v>198</v>
      </c>
      <c r="D19" s="11" t="s">
        <v>87</v>
      </c>
      <c r="E19" s="11" t="s">
        <v>179</v>
      </c>
      <c r="F19" s="11" t="s">
        <v>209</v>
      </c>
      <c r="G19" s="11" t="s">
        <v>181</v>
      </c>
      <c r="H19" s="11" t="s">
        <v>182</v>
      </c>
      <c r="I19" s="11" t="s">
        <v>183</v>
      </c>
      <c r="J19" s="11" t="s">
        <v>184</v>
      </c>
      <c r="K19" s="11" t="s">
        <v>177</v>
      </c>
      <c r="L19" s="11" t="s">
        <v>177</v>
      </c>
      <c r="M19" s="11" t="s">
        <v>177</v>
      </c>
    </row>
    <row r="20" spans="1:13" ht="45" customHeight="1" x14ac:dyDescent="0.25">
      <c r="A20" s="11" t="s">
        <v>176</v>
      </c>
      <c r="B20" s="11" t="s">
        <v>177</v>
      </c>
      <c r="C20" s="11" t="s">
        <v>178</v>
      </c>
      <c r="D20" s="11" t="s">
        <v>87</v>
      </c>
      <c r="E20" s="11" t="s">
        <v>210</v>
      </c>
      <c r="F20" s="11" t="s">
        <v>211</v>
      </c>
      <c r="G20" s="11" t="s">
        <v>212</v>
      </c>
      <c r="H20" s="11" t="s">
        <v>182</v>
      </c>
      <c r="I20" s="11" t="s">
        <v>183</v>
      </c>
      <c r="J20" s="11" t="s">
        <v>184</v>
      </c>
      <c r="K20" s="11" t="s">
        <v>177</v>
      </c>
      <c r="L20" s="11" t="s">
        <v>177</v>
      </c>
      <c r="M20" s="11" t="s">
        <v>177</v>
      </c>
    </row>
    <row r="21" spans="1:13" ht="45" customHeight="1" x14ac:dyDescent="0.25">
      <c r="A21" s="11" t="s">
        <v>188</v>
      </c>
      <c r="B21" s="11" t="s">
        <v>177</v>
      </c>
      <c r="C21" s="11" t="s">
        <v>189</v>
      </c>
      <c r="D21" s="11" t="s">
        <v>87</v>
      </c>
      <c r="E21" s="11" t="s">
        <v>210</v>
      </c>
      <c r="F21" s="11" t="s">
        <v>213</v>
      </c>
      <c r="G21" s="11" t="s">
        <v>212</v>
      </c>
      <c r="H21" s="11" t="s">
        <v>182</v>
      </c>
      <c r="I21" s="11" t="s">
        <v>183</v>
      </c>
      <c r="J21" s="11" t="s">
        <v>184</v>
      </c>
      <c r="K21" s="11" t="s">
        <v>177</v>
      </c>
      <c r="L21" s="11" t="s">
        <v>177</v>
      </c>
      <c r="M21" s="11" t="s">
        <v>177</v>
      </c>
    </row>
    <row r="22" spans="1:13" ht="45" customHeight="1" x14ac:dyDescent="0.25">
      <c r="A22" s="11" t="s">
        <v>185</v>
      </c>
      <c r="B22" s="11" t="s">
        <v>177</v>
      </c>
      <c r="C22" s="11" t="s">
        <v>186</v>
      </c>
      <c r="D22" s="11" t="s">
        <v>87</v>
      </c>
      <c r="E22" s="11" t="s">
        <v>210</v>
      </c>
      <c r="F22" s="11" t="s">
        <v>214</v>
      </c>
      <c r="G22" s="11" t="s">
        <v>212</v>
      </c>
      <c r="H22" s="11" t="s">
        <v>182</v>
      </c>
      <c r="I22" s="11" t="s">
        <v>183</v>
      </c>
      <c r="J22" s="11" t="s">
        <v>184</v>
      </c>
      <c r="K22" s="11" t="s">
        <v>177</v>
      </c>
      <c r="L22" s="11" t="s">
        <v>177</v>
      </c>
      <c r="M22" s="11" t="s">
        <v>177</v>
      </c>
    </row>
    <row r="23" spans="1:13" ht="45" customHeight="1" x14ac:dyDescent="0.25">
      <c r="A23" s="11" t="s">
        <v>200</v>
      </c>
      <c r="B23" s="11" t="s">
        <v>177</v>
      </c>
      <c r="C23" s="11" t="s">
        <v>201</v>
      </c>
      <c r="D23" s="11" t="s">
        <v>87</v>
      </c>
      <c r="E23" s="11" t="s">
        <v>210</v>
      </c>
      <c r="F23" s="11" t="s">
        <v>215</v>
      </c>
      <c r="G23" s="11" t="s">
        <v>212</v>
      </c>
      <c r="H23" s="11" t="s">
        <v>182</v>
      </c>
      <c r="I23" s="11" t="s">
        <v>183</v>
      </c>
      <c r="J23" s="11" t="s">
        <v>184</v>
      </c>
      <c r="K23" s="11" t="s">
        <v>177</v>
      </c>
      <c r="L23" s="11" t="s">
        <v>177</v>
      </c>
      <c r="M23" s="11" t="s">
        <v>177</v>
      </c>
    </row>
    <row r="24" spans="1:13" ht="45" customHeight="1" x14ac:dyDescent="0.25">
      <c r="A24" s="11" t="s">
        <v>191</v>
      </c>
      <c r="B24" s="11" t="s">
        <v>177</v>
      </c>
      <c r="C24" s="11" t="s">
        <v>192</v>
      </c>
      <c r="D24" s="11" t="s">
        <v>87</v>
      </c>
      <c r="E24" s="11" t="s">
        <v>210</v>
      </c>
      <c r="F24" s="11" t="s">
        <v>216</v>
      </c>
      <c r="G24" s="11" t="s">
        <v>212</v>
      </c>
      <c r="H24" s="11" t="s">
        <v>182</v>
      </c>
      <c r="I24" s="11" t="s">
        <v>183</v>
      </c>
      <c r="J24" s="11" t="s">
        <v>184</v>
      </c>
      <c r="K24" s="11" t="s">
        <v>177</v>
      </c>
      <c r="L24" s="11" t="s">
        <v>177</v>
      </c>
      <c r="M24" s="11" t="s">
        <v>177</v>
      </c>
    </row>
    <row r="25" spans="1:13" ht="45" customHeight="1" x14ac:dyDescent="0.25">
      <c r="A25" s="11" t="s">
        <v>217</v>
      </c>
      <c r="B25" s="11" t="s">
        <v>177</v>
      </c>
      <c r="C25" s="11" t="s">
        <v>218</v>
      </c>
      <c r="D25" s="11" t="s">
        <v>87</v>
      </c>
      <c r="E25" s="11" t="s">
        <v>210</v>
      </c>
      <c r="F25" s="11" t="s">
        <v>219</v>
      </c>
      <c r="G25" s="11" t="s">
        <v>212</v>
      </c>
      <c r="H25" s="11" t="s">
        <v>182</v>
      </c>
      <c r="I25" s="11" t="s">
        <v>183</v>
      </c>
      <c r="J25" s="11" t="s">
        <v>184</v>
      </c>
      <c r="K25" s="11" t="s">
        <v>177</v>
      </c>
      <c r="L25" s="11" t="s">
        <v>177</v>
      </c>
      <c r="M25" s="11" t="s">
        <v>177</v>
      </c>
    </row>
    <row r="26" spans="1:13" ht="45" customHeight="1" x14ac:dyDescent="0.25">
      <c r="A26" s="11" t="s">
        <v>194</v>
      </c>
      <c r="B26" s="11" t="s">
        <v>177</v>
      </c>
      <c r="C26" s="11" t="s">
        <v>195</v>
      </c>
      <c r="D26" s="11" t="s">
        <v>87</v>
      </c>
      <c r="E26" s="11" t="s">
        <v>210</v>
      </c>
      <c r="F26" s="11" t="s">
        <v>220</v>
      </c>
      <c r="G26" s="11" t="s">
        <v>212</v>
      </c>
      <c r="H26" s="11" t="s">
        <v>182</v>
      </c>
      <c r="I26" s="11" t="s">
        <v>183</v>
      </c>
      <c r="J26" s="11" t="s">
        <v>184</v>
      </c>
      <c r="K26" s="11" t="s">
        <v>177</v>
      </c>
      <c r="L26" s="11" t="s">
        <v>177</v>
      </c>
      <c r="M26" s="11" t="s">
        <v>177</v>
      </c>
    </row>
    <row r="27" spans="1:13" ht="45" customHeight="1" x14ac:dyDescent="0.25">
      <c r="A27" s="11" t="s">
        <v>197</v>
      </c>
      <c r="B27" s="11" t="s">
        <v>177</v>
      </c>
      <c r="C27" s="11" t="s">
        <v>198</v>
      </c>
      <c r="D27" s="11" t="s">
        <v>87</v>
      </c>
      <c r="E27" s="11" t="s">
        <v>210</v>
      </c>
      <c r="F27" s="11" t="s">
        <v>221</v>
      </c>
      <c r="G27" s="11" t="s">
        <v>212</v>
      </c>
      <c r="H27" s="11" t="s">
        <v>182</v>
      </c>
      <c r="I27" s="11" t="s">
        <v>183</v>
      </c>
      <c r="J27" s="11" t="s">
        <v>184</v>
      </c>
      <c r="K27" s="11" t="s">
        <v>177</v>
      </c>
      <c r="L27" s="11" t="s">
        <v>177</v>
      </c>
      <c r="M27" s="11" t="s">
        <v>177</v>
      </c>
    </row>
    <row r="28" spans="1:13" ht="45" customHeight="1" x14ac:dyDescent="0.25">
      <c r="A28" s="11" t="s">
        <v>197</v>
      </c>
      <c r="B28" s="11" t="s">
        <v>177</v>
      </c>
      <c r="C28" s="11" t="s">
        <v>198</v>
      </c>
      <c r="D28" s="11" t="s">
        <v>87</v>
      </c>
      <c r="E28" s="11" t="s">
        <v>210</v>
      </c>
      <c r="F28" s="11" t="s">
        <v>222</v>
      </c>
      <c r="G28" s="11" t="s">
        <v>212</v>
      </c>
      <c r="H28" s="11" t="s">
        <v>182</v>
      </c>
      <c r="I28" s="11" t="s">
        <v>183</v>
      </c>
      <c r="J28" s="11" t="s">
        <v>184</v>
      </c>
      <c r="K28" s="11" t="s">
        <v>177</v>
      </c>
      <c r="L28" s="11" t="s">
        <v>177</v>
      </c>
      <c r="M28" s="11" t="s">
        <v>177</v>
      </c>
    </row>
    <row r="29" spans="1:13" ht="45" customHeight="1" x14ac:dyDescent="0.25">
      <c r="A29" s="11" t="s">
        <v>194</v>
      </c>
      <c r="B29" s="11" t="s">
        <v>177</v>
      </c>
      <c r="C29" s="11" t="s">
        <v>195</v>
      </c>
      <c r="D29" s="11" t="s">
        <v>87</v>
      </c>
      <c r="E29" s="11" t="s">
        <v>210</v>
      </c>
      <c r="F29" s="11" t="s">
        <v>223</v>
      </c>
      <c r="G29" s="11" t="s">
        <v>212</v>
      </c>
      <c r="H29" s="11" t="s">
        <v>182</v>
      </c>
      <c r="I29" s="11" t="s">
        <v>183</v>
      </c>
      <c r="J29" s="11" t="s">
        <v>184</v>
      </c>
      <c r="K29" s="11" t="s">
        <v>177</v>
      </c>
      <c r="L29" s="11" t="s">
        <v>177</v>
      </c>
      <c r="M29" s="11" t="s">
        <v>177</v>
      </c>
    </row>
    <row r="30" spans="1:13" ht="45" customHeight="1" x14ac:dyDescent="0.25">
      <c r="A30" s="11" t="s">
        <v>197</v>
      </c>
      <c r="B30" s="11" t="s">
        <v>177</v>
      </c>
      <c r="C30" s="11" t="s">
        <v>198</v>
      </c>
      <c r="D30" s="11" t="s">
        <v>87</v>
      </c>
      <c r="E30" s="11" t="s">
        <v>210</v>
      </c>
      <c r="F30" s="11" t="s">
        <v>224</v>
      </c>
      <c r="G30" s="11" t="s">
        <v>212</v>
      </c>
      <c r="H30" s="11" t="s">
        <v>182</v>
      </c>
      <c r="I30" s="11" t="s">
        <v>183</v>
      </c>
      <c r="J30" s="11" t="s">
        <v>184</v>
      </c>
      <c r="K30" s="11" t="s">
        <v>177</v>
      </c>
      <c r="L30" s="11" t="s">
        <v>177</v>
      </c>
      <c r="M30" s="11" t="s">
        <v>177</v>
      </c>
    </row>
    <row r="31" spans="1:13" ht="45" customHeight="1" x14ac:dyDescent="0.25">
      <c r="A31" s="11" t="s">
        <v>194</v>
      </c>
      <c r="B31" s="11" t="s">
        <v>177</v>
      </c>
      <c r="C31" s="11" t="s">
        <v>195</v>
      </c>
      <c r="D31" s="11" t="s">
        <v>87</v>
      </c>
      <c r="E31" s="11" t="s">
        <v>210</v>
      </c>
      <c r="F31" s="11" t="s">
        <v>225</v>
      </c>
      <c r="G31" s="11" t="s">
        <v>212</v>
      </c>
      <c r="H31" s="11" t="s">
        <v>182</v>
      </c>
      <c r="I31" s="11" t="s">
        <v>183</v>
      </c>
      <c r="J31" s="11" t="s">
        <v>184</v>
      </c>
      <c r="K31" s="11" t="s">
        <v>177</v>
      </c>
      <c r="L31" s="11" t="s">
        <v>177</v>
      </c>
      <c r="M31" s="11" t="s">
        <v>177</v>
      </c>
    </row>
    <row r="32" spans="1:13" ht="45" customHeight="1" x14ac:dyDescent="0.25">
      <c r="A32" s="11" t="s">
        <v>191</v>
      </c>
      <c r="B32" s="11" t="s">
        <v>177</v>
      </c>
      <c r="C32" s="11" t="s">
        <v>192</v>
      </c>
      <c r="D32" s="11" t="s">
        <v>87</v>
      </c>
      <c r="E32" s="11" t="s">
        <v>210</v>
      </c>
      <c r="F32" s="11" t="s">
        <v>226</v>
      </c>
      <c r="G32" s="11" t="s">
        <v>212</v>
      </c>
      <c r="H32" s="11" t="s">
        <v>182</v>
      </c>
      <c r="I32" s="11" t="s">
        <v>183</v>
      </c>
      <c r="J32" s="11" t="s">
        <v>184</v>
      </c>
      <c r="K32" s="11" t="s">
        <v>177</v>
      </c>
      <c r="L32" s="11" t="s">
        <v>177</v>
      </c>
      <c r="M32" s="11" t="s">
        <v>177</v>
      </c>
    </row>
    <row r="33" spans="1:13" ht="45" customHeight="1" x14ac:dyDescent="0.25">
      <c r="A33" s="11" t="s">
        <v>217</v>
      </c>
      <c r="B33" s="11" t="s">
        <v>177</v>
      </c>
      <c r="C33" s="11" t="s">
        <v>218</v>
      </c>
      <c r="D33" s="11" t="s">
        <v>87</v>
      </c>
      <c r="E33" s="11" t="s">
        <v>210</v>
      </c>
      <c r="F33" s="11" t="s">
        <v>226</v>
      </c>
      <c r="G33" s="11" t="s">
        <v>212</v>
      </c>
      <c r="H33" s="11" t="s">
        <v>182</v>
      </c>
      <c r="I33" s="11" t="s">
        <v>183</v>
      </c>
      <c r="J33" s="11" t="s">
        <v>184</v>
      </c>
      <c r="K33" s="11" t="s">
        <v>177</v>
      </c>
      <c r="L33" s="11" t="s">
        <v>177</v>
      </c>
      <c r="M33" s="11" t="s">
        <v>177</v>
      </c>
    </row>
    <row r="34" spans="1:13" ht="45" customHeight="1" x14ac:dyDescent="0.25">
      <c r="A34" s="11" t="s">
        <v>185</v>
      </c>
      <c r="B34" s="11" t="s">
        <v>177</v>
      </c>
      <c r="C34" s="11" t="s">
        <v>186</v>
      </c>
      <c r="D34" s="11" t="s">
        <v>87</v>
      </c>
      <c r="E34" s="11" t="s">
        <v>210</v>
      </c>
      <c r="F34" s="11" t="s">
        <v>227</v>
      </c>
      <c r="G34" s="11" t="s">
        <v>212</v>
      </c>
      <c r="H34" s="11" t="s">
        <v>182</v>
      </c>
      <c r="I34" s="11" t="s">
        <v>183</v>
      </c>
      <c r="J34" s="11" t="s">
        <v>184</v>
      </c>
      <c r="K34" s="11" t="s">
        <v>177</v>
      </c>
      <c r="L34" s="11" t="s">
        <v>177</v>
      </c>
      <c r="M34" s="11" t="s">
        <v>177</v>
      </c>
    </row>
    <row r="35" spans="1:13" ht="45" customHeight="1" x14ac:dyDescent="0.25">
      <c r="A35" s="11" t="s">
        <v>176</v>
      </c>
      <c r="B35" s="11" t="s">
        <v>177</v>
      </c>
      <c r="C35" s="11" t="s">
        <v>178</v>
      </c>
      <c r="D35" s="11" t="s">
        <v>87</v>
      </c>
      <c r="E35" s="11" t="s">
        <v>210</v>
      </c>
      <c r="F35" s="11" t="s">
        <v>228</v>
      </c>
      <c r="G35" s="11" t="s">
        <v>212</v>
      </c>
      <c r="H35" s="11" t="s">
        <v>182</v>
      </c>
      <c r="I35" s="11" t="s">
        <v>183</v>
      </c>
      <c r="J35" s="11" t="s">
        <v>184</v>
      </c>
      <c r="K35" s="11" t="s">
        <v>177</v>
      </c>
      <c r="L35" s="11" t="s">
        <v>177</v>
      </c>
      <c r="M35" s="11" t="s">
        <v>177</v>
      </c>
    </row>
    <row r="36" spans="1:13" ht="45" customHeight="1" x14ac:dyDescent="0.25">
      <c r="A36" s="11" t="s">
        <v>200</v>
      </c>
      <c r="B36" s="11" t="s">
        <v>177</v>
      </c>
      <c r="C36" s="11" t="s">
        <v>201</v>
      </c>
      <c r="D36" s="11" t="s">
        <v>87</v>
      </c>
      <c r="E36" s="11" t="s">
        <v>210</v>
      </c>
      <c r="F36" s="11" t="s">
        <v>229</v>
      </c>
      <c r="G36" s="11" t="s">
        <v>212</v>
      </c>
      <c r="H36" s="11" t="s">
        <v>182</v>
      </c>
      <c r="I36" s="11" t="s">
        <v>183</v>
      </c>
      <c r="J36" s="11" t="s">
        <v>184</v>
      </c>
      <c r="K36" s="11" t="s">
        <v>177</v>
      </c>
      <c r="L36" s="11" t="s">
        <v>177</v>
      </c>
      <c r="M36" s="11" t="s">
        <v>177</v>
      </c>
    </row>
    <row r="37" spans="1:13" ht="45" customHeight="1" x14ac:dyDescent="0.25">
      <c r="A37" s="11" t="s">
        <v>188</v>
      </c>
      <c r="B37" s="11" t="s">
        <v>177</v>
      </c>
      <c r="C37" s="11" t="s">
        <v>189</v>
      </c>
      <c r="D37" s="11" t="s">
        <v>87</v>
      </c>
      <c r="E37" s="11" t="s">
        <v>210</v>
      </c>
      <c r="F37" s="11" t="s">
        <v>230</v>
      </c>
      <c r="G37" s="11" t="s">
        <v>212</v>
      </c>
      <c r="H37" s="11" t="s">
        <v>182</v>
      </c>
      <c r="I37" s="11" t="s">
        <v>183</v>
      </c>
      <c r="J37" s="11" t="s">
        <v>184</v>
      </c>
      <c r="K37" s="11" t="s">
        <v>177</v>
      </c>
      <c r="L37" s="11" t="s">
        <v>177</v>
      </c>
      <c r="M37" s="11" t="s">
        <v>177</v>
      </c>
    </row>
    <row r="38" spans="1:13" ht="45" customHeight="1" x14ac:dyDescent="0.25">
      <c r="A38" s="11" t="s">
        <v>194</v>
      </c>
      <c r="B38" s="11" t="s">
        <v>177</v>
      </c>
      <c r="C38" s="11" t="s">
        <v>195</v>
      </c>
      <c r="D38" s="11" t="s">
        <v>87</v>
      </c>
      <c r="E38" s="11" t="s">
        <v>210</v>
      </c>
      <c r="F38" s="11" t="s">
        <v>231</v>
      </c>
      <c r="G38" s="11" t="s">
        <v>212</v>
      </c>
      <c r="H38" s="11" t="s">
        <v>182</v>
      </c>
      <c r="I38" s="11" t="s">
        <v>183</v>
      </c>
      <c r="J38" s="11" t="s">
        <v>184</v>
      </c>
      <c r="K38" s="11" t="s">
        <v>177</v>
      </c>
      <c r="L38" s="11" t="s">
        <v>177</v>
      </c>
      <c r="M38" s="11" t="s">
        <v>177</v>
      </c>
    </row>
    <row r="39" spans="1:13" ht="45" customHeight="1" x14ac:dyDescent="0.25">
      <c r="A39" s="11" t="s">
        <v>176</v>
      </c>
      <c r="B39" s="11" t="s">
        <v>177</v>
      </c>
      <c r="C39" s="11" t="s">
        <v>178</v>
      </c>
      <c r="D39" s="11" t="s">
        <v>87</v>
      </c>
      <c r="E39" s="11" t="s">
        <v>232</v>
      </c>
      <c r="F39" s="11" t="s">
        <v>233</v>
      </c>
      <c r="G39" s="11" t="s">
        <v>234</v>
      </c>
      <c r="H39" s="11" t="s">
        <v>182</v>
      </c>
      <c r="I39" s="11" t="s">
        <v>183</v>
      </c>
      <c r="J39" s="11" t="s">
        <v>184</v>
      </c>
      <c r="K39" s="11" t="s">
        <v>177</v>
      </c>
      <c r="L39" s="11" t="s">
        <v>177</v>
      </c>
      <c r="M39" s="11" t="s">
        <v>177</v>
      </c>
    </row>
    <row r="40" spans="1:13" ht="45" customHeight="1" x14ac:dyDescent="0.25">
      <c r="A40" s="11" t="s">
        <v>188</v>
      </c>
      <c r="B40" s="11" t="s">
        <v>177</v>
      </c>
      <c r="C40" s="11" t="s">
        <v>189</v>
      </c>
      <c r="D40" s="11" t="s">
        <v>87</v>
      </c>
      <c r="E40" s="11" t="s">
        <v>232</v>
      </c>
      <c r="F40" s="11" t="s">
        <v>187</v>
      </c>
      <c r="G40" s="11" t="s">
        <v>234</v>
      </c>
      <c r="H40" s="11" t="s">
        <v>182</v>
      </c>
      <c r="I40" s="11" t="s">
        <v>183</v>
      </c>
      <c r="J40" s="11" t="s">
        <v>184</v>
      </c>
      <c r="K40" s="11" t="s">
        <v>177</v>
      </c>
      <c r="L40" s="11" t="s">
        <v>177</v>
      </c>
      <c r="M40" s="11" t="s">
        <v>177</v>
      </c>
    </row>
    <row r="41" spans="1:13" ht="45" customHeight="1" x14ac:dyDescent="0.25">
      <c r="A41" s="11" t="s">
        <v>217</v>
      </c>
      <c r="B41" s="11" t="s">
        <v>177</v>
      </c>
      <c r="C41" s="11" t="s">
        <v>218</v>
      </c>
      <c r="D41" s="11" t="s">
        <v>87</v>
      </c>
      <c r="E41" s="11" t="s">
        <v>232</v>
      </c>
      <c r="F41" s="11" t="s">
        <v>235</v>
      </c>
      <c r="G41" s="11" t="s">
        <v>234</v>
      </c>
      <c r="H41" s="11" t="s">
        <v>182</v>
      </c>
      <c r="I41" s="11" t="s">
        <v>183</v>
      </c>
      <c r="J41" s="11" t="s">
        <v>184</v>
      </c>
      <c r="K41" s="11" t="s">
        <v>177</v>
      </c>
      <c r="L41" s="11" t="s">
        <v>177</v>
      </c>
      <c r="M41" s="11" t="s">
        <v>177</v>
      </c>
    </row>
    <row r="42" spans="1:13" ht="45" customHeight="1" x14ac:dyDescent="0.25">
      <c r="A42" s="11" t="s">
        <v>197</v>
      </c>
      <c r="B42" s="11" t="s">
        <v>177</v>
      </c>
      <c r="C42" s="11" t="s">
        <v>198</v>
      </c>
      <c r="D42" s="11" t="s">
        <v>87</v>
      </c>
      <c r="E42" s="11" t="s">
        <v>232</v>
      </c>
      <c r="F42" s="11" t="s">
        <v>236</v>
      </c>
      <c r="G42" s="11" t="s">
        <v>234</v>
      </c>
      <c r="H42" s="11" t="s">
        <v>182</v>
      </c>
      <c r="I42" s="11" t="s">
        <v>183</v>
      </c>
      <c r="J42" s="11" t="s">
        <v>184</v>
      </c>
      <c r="K42" s="11" t="s">
        <v>177</v>
      </c>
      <c r="L42" s="11" t="s">
        <v>177</v>
      </c>
      <c r="M42" s="11" t="s">
        <v>177</v>
      </c>
    </row>
    <row r="43" spans="1:13" ht="45" customHeight="1" x14ac:dyDescent="0.25">
      <c r="A43" s="11" t="s">
        <v>194</v>
      </c>
      <c r="B43" s="11" t="s">
        <v>177</v>
      </c>
      <c r="C43" s="11" t="s">
        <v>195</v>
      </c>
      <c r="D43" s="11" t="s">
        <v>87</v>
      </c>
      <c r="E43" s="11" t="s">
        <v>232</v>
      </c>
      <c r="F43" s="11" t="s">
        <v>237</v>
      </c>
      <c r="G43" s="11" t="s">
        <v>234</v>
      </c>
      <c r="H43" s="11" t="s">
        <v>182</v>
      </c>
      <c r="I43" s="11" t="s">
        <v>183</v>
      </c>
      <c r="J43" s="11" t="s">
        <v>184</v>
      </c>
      <c r="K43" s="11" t="s">
        <v>177</v>
      </c>
      <c r="L43" s="11" t="s">
        <v>177</v>
      </c>
      <c r="M43" s="11" t="s">
        <v>177</v>
      </c>
    </row>
    <row r="44" spans="1:13" ht="45" customHeight="1" x14ac:dyDescent="0.25">
      <c r="A44" s="11" t="s">
        <v>191</v>
      </c>
      <c r="B44" s="11" t="s">
        <v>177</v>
      </c>
      <c r="C44" s="11" t="s">
        <v>192</v>
      </c>
      <c r="D44" s="11" t="s">
        <v>87</v>
      </c>
      <c r="E44" s="11" t="s">
        <v>232</v>
      </c>
      <c r="F44" s="11" t="s">
        <v>238</v>
      </c>
      <c r="G44" s="11" t="s">
        <v>234</v>
      </c>
      <c r="H44" s="11" t="s">
        <v>182</v>
      </c>
      <c r="I44" s="11" t="s">
        <v>183</v>
      </c>
      <c r="J44" s="11" t="s">
        <v>184</v>
      </c>
      <c r="K44" s="11" t="s">
        <v>177</v>
      </c>
      <c r="L44" s="11" t="s">
        <v>177</v>
      </c>
      <c r="M44" s="11" t="s">
        <v>177</v>
      </c>
    </row>
    <row r="45" spans="1:13" ht="45" customHeight="1" x14ac:dyDescent="0.25">
      <c r="A45" s="11" t="s">
        <v>200</v>
      </c>
      <c r="B45" s="11" t="s">
        <v>177</v>
      </c>
      <c r="C45" s="11" t="s">
        <v>201</v>
      </c>
      <c r="D45" s="11" t="s">
        <v>87</v>
      </c>
      <c r="E45" s="11" t="s">
        <v>232</v>
      </c>
      <c r="F45" s="11" t="s">
        <v>239</v>
      </c>
      <c r="G45" s="11" t="s">
        <v>234</v>
      </c>
      <c r="H45" s="11" t="s">
        <v>182</v>
      </c>
      <c r="I45" s="11" t="s">
        <v>183</v>
      </c>
      <c r="J45" s="11" t="s">
        <v>184</v>
      </c>
      <c r="K45" s="11" t="s">
        <v>177</v>
      </c>
      <c r="L45" s="11" t="s">
        <v>177</v>
      </c>
      <c r="M45" s="11" t="s">
        <v>177</v>
      </c>
    </row>
    <row r="46" spans="1:13" ht="45" customHeight="1" x14ac:dyDescent="0.25">
      <c r="A46" s="11" t="s">
        <v>194</v>
      </c>
      <c r="B46" s="11" t="s">
        <v>177</v>
      </c>
      <c r="C46" s="11" t="s">
        <v>195</v>
      </c>
      <c r="D46" s="11" t="s">
        <v>87</v>
      </c>
      <c r="E46" s="11" t="s">
        <v>232</v>
      </c>
      <c r="F46" s="11" t="s">
        <v>240</v>
      </c>
      <c r="G46" s="11" t="s">
        <v>234</v>
      </c>
      <c r="H46" s="11" t="s">
        <v>182</v>
      </c>
      <c r="I46" s="11" t="s">
        <v>183</v>
      </c>
      <c r="J46" s="11" t="s">
        <v>184</v>
      </c>
      <c r="K46" s="11" t="s">
        <v>177</v>
      </c>
      <c r="L46" s="11" t="s">
        <v>177</v>
      </c>
      <c r="M46" s="11" t="s">
        <v>177</v>
      </c>
    </row>
    <row r="47" spans="1:13" ht="45" customHeight="1" x14ac:dyDescent="0.25">
      <c r="A47" s="11" t="s">
        <v>197</v>
      </c>
      <c r="B47" s="11" t="s">
        <v>177</v>
      </c>
      <c r="C47" s="11" t="s">
        <v>198</v>
      </c>
      <c r="D47" s="11" t="s">
        <v>87</v>
      </c>
      <c r="E47" s="11" t="s">
        <v>232</v>
      </c>
      <c r="F47" s="11" t="s">
        <v>241</v>
      </c>
      <c r="G47" s="11" t="s">
        <v>234</v>
      </c>
      <c r="H47" s="11" t="s">
        <v>182</v>
      </c>
      <c r="I47" s="11" t="s">
        <v>183</v>
      </c>
      <c r="J47" s="11" t="s">
        <v>184</v>
      </c>
      <c r="K47" s="11" t="s">
        <v>177</v>
      </c>
      <c r="L47" s="11" t="s">
        <v>177</v>
      </c>
      <c r="M47" s="11" t="s">
        <v>177</v>
      </c>
    </row>
    <row r="48" spans="1:13" ht="45" customHeight="1" x14ac:dyDescent="0.25">
      <c r="A48" s="11" t="s">
        <v>217</v>
      </c>
      <c r="B48" s="11" t="s">
        <v>177</v>
      </c>
      <c r="C48" s="11" t="s">
        <v>218</v>
      </c>
      <c r="D48" s="11" t="s">
        <v>87</v>
      </c>
      <c r="E48" s="11" t="s">
        <v>232</v>
      </c>
      <c r="F48" s="11" t="s">
        <v>242</v>
      </c>
      <c r="G48" s="11" t="s">
        <v>234</v>
      </c>
      <c r="H48" s="11" t="s">
        <v>182</v>
      </c>
      <c r="I48" s="11" t="s">
        <v>183</v>
      </c>
      <c r="J48" s="11" t="s">
        <v>184</v>
      </c>
      <c r="K48" s="11" t="s">
        <v>177</v>
      </c>
      <c r="L48" s="11" t="s">
        <v>177</v>
      </c>
      <c r="M48" s="11" t="s">
        <v>177</v>
      </c>
    </row>
    <row r="49" spans="1:13" ht="45" customHeight="1" x14ac:dyDescent="0.25">
      <c r="A49" s="11" t="s">
        <v>176</v>
      </c>
      <c r="B49" s="11" t="s">
        <v>177</v>
      </c>
      <c r="C49" s="11" t="s">
        <v>178</v>
      </c>
      <c r="D49" s="11" t="s">
        <v>87</v>
      </c>
      <c r="E49" s="11" t="s">
        <v>232</v>
      </c>
      <c r="F49" s="11" t="s">
        <v>243</v>
      </c>
      <c r="G49" s="11" t="s">
        <v>234</v>
      </c>
      <c r="H49" s="11" t="s">
        <v>182</v>
      </c>
      <c r="I49" s="11" t="s">
        <v>183</v>
      </c>
      <c r="J49" s="11" t="s">
        <v>184</v>
      </c>
      <c r="K49" s="11" t="s">
        <v>177</v>
      </c>
      <c r="L49" s="11" t="s">
        <v>177</v>
      </c>
      <c r="M49" s="11" t="s">
        <v>177</v>
      </c>
    </row>
    <row r="50" spans="1:13" ht="45" customHeight="1" x14ac:dyDescent="0.25">
      <c r="A50" s="11" t="s">
        <v>185</v>
      </c>
      <c r="B50" s="11" t="s">
        <v>177</v>
      </c>
      <c r="C50" s="11" t="s">
        <v>186</v>
      </c>
      <c r="D50" s="11" t="s">
        <v>87</v>
      </c>
      <c r="E50" s="11" t="s">
        <v>232</v>
      </c>
      <c r="F50" s="11" t="s">
        <v>244</v>
      </c>
      <c r="G50" s="11" t="s">
        <v>234</v>
      </c>
      <c r="H50" s="11" t="s">
        <v>182</v>
      </c>
      <c r="I50" s="11" t="s">
        <v>183</v>
      </c>
      <c r="J50" s="11" t="s">
        <v>184</v>
      </c>
      <c r="K50" s="11" t="s">
        <v>177</v>
      </c>
      <c r="L50" s="11" t="s">
        <v>177</v>
      </c>
      <c r="M50" s="11" t="s">
        <v>177</v>
      </c>
    </row>
    <row r="51" spans="1:13" ht="45" customHeight="1" x14ac:dyDescent="0.25">
      <c r="A51" s="11" t="s">
        <v>188</v>
      </c>
      <c r="B51" s="11" t="s">
        <v>177</v>
      </c>
      <c r="C51" s="11" t="s">
        <v>189</v>
      </c>
      <c r="D51" s="11" t="s">
        <v>87</v>
      </c>
      <c r="E51" s="11" t="s">
        <v>232</v>
      </c>
      <c r="F51" s="11" t="s">
        <v>245</v>
      </c>
      <c r="G51" s="11" t="s">
        <v>234</v>
      </c>
      <c r="H51" s="11" t="s">
        <v>182</v>
      </c>
      <c r="I51" s="11" t="s">
        <v>183</v>
      </c>
      <c r="J51" s="11" t="s">
        <v>184</v>
      </c>
      <c r="K51" s="11" t="s">
        <v>177</v>
      </c>
      <c r="L51" s="11" t="s">
        <v>177</v>
      </c>
      <c r="M51" s="11" t="s">
        <v>177</v>
      </c>
    </row>
    <row r="52" spans="1:13" ht="45" customHeight="1" x14ac:dyDescent="0.25">
      <c r="A52" s="11" t="s">
        <v>194</v>
      </c>
      <c r="B52" s="11" t="s">
        <v>177</v>
      </c>
      <c r="C52" s="11" t="s">
        <v>195</v>
      </c>
      <c r="D52" s="11" t="s">
        <v>87</v>
      </c>
      <c r="E52" s="11" t="s">
        <v>232</v>
      </c>
      <c r="F52" s="11" t="s">
        <v>246</v>
      </c>
      <c r="G52" s="11" t="s">
        <v>234</v>
      </c>
      <c r="H52" s="11" t="s">
        <v>182</v>
      </c>
      <c r="I52" s="11" t="s">
        <v>183</v>
      </c>
      <c r="J52" s="11" t="s">
        <v>184</v>
      </c>
      <c r="K52" s="11" t="s">
        <v>177</v>
      </c>
      <c r="L52" s="11" t="s">
        <v>177</v>
      </c>
      <c r="M52" s="11" t="s">
        <v>177</v>
      </c>
    </row>
    <row r="53" spans="1:13" ht="45" customHeight="1" x14ac:dyDescent="0.25">
      <c r="A53" s="11" t="s">
        <v>197</v>
      </c>
      <c r="B53" s="11" t="s">
        <v>177</v>
      </c>
      <c r="C53" s="11" t="s">
        <v>198</v>
      </c>
      <c r="D53" s="11" t="s">
        <v>87</v>
      </c>
      <c r="E53" s="11" t="s">
        <v>232</v>
      </c>
      <c r="F53" s="11" t="s">
        <v>231</v>
      </c>
      <c r="G53" s="11" t="s">
        <v>234</v>
      </c>
      <c r="H53" s="11" t="s">
        <v>182</v>
      </c>
      <c r="I53" s="11" t="s">
        <v>183</v>
      </c>
      <c r="J53" s="11" t="s">
        <v>184</v>
      </c>
      <c r="K53" s="11" t="s">
        <v>177</v>
      </c>
      <c r="L53" s="11" t="s">
        <v>177</v>
      </c>
      <c r="M53" s="11" t="s">
        <v>177</v>
      </c>
    </row>
    <row r="54" spans="1:13" ht="45" customHeight="1" x14ac:dyDescent="0.25">
      <c r="A54" s="11" t="s">
        <v>176</v>
      </c>
      <c r="B54" s="11" t="s">
        <v>177</v>
      </c>
      <c r="C54" s="11" t="s">
        <v>178</v>
      </c>
      <c r="D54" s="11" t="s">
        <v>87</v>
      </c>
      <c r="E54" s="11" t="s">
        <v>247</v>
      </c>
      <c r="F54" s="11" t="s">
        <v>248</v>
      </c>
      <c r="G54" s="11" t="s">
        <v>249</v>
      </c>
      <c r="H54" s="11" t="s">
        <v>182</v>
      </c>
      <c r="I54" s="11" t="s">
        <v>183</v>
      </c>
      <c r="J54" s="11" t="s">
        <v>184</v>
      </c>
      <c r="K54" s="11" t="s">
        <v>177</v>
      </c>
      <c r="L54" s="11" t="s">
        <v>177</v>
      </c>
      <c r="M54" s="11" t="s">
        <v>177</v>
      </c>
    </row>
    <row r="55" spans="1:13" ht="45" customHeight="1" x14ac:dyDescent="0.25">
      <c r="A55" s="11" t="s">
        <v>185</v>
      </c>
      <c r="B55" s="11" t="s">
        <v>177</v>
      </c>
      <c r="C55" s="11" t="s">
        <v>186</v>
      </c>
      <c r="D55" s="11" t="s">
        <v>87</v>
      </c>
      <c r="E55" s="11" t="s">
        <v>247</v>
      </c>
      <c r="F55" s="11" t="s">
        <v>250</v>
      </c>
      <c r="G55" s="11" t="s">
        <v>249</v>
      </c>
      <c r="H55" s="11" t="s">
        <v>182</v>
      </c>
      <c r="I55" s="11" t="s">
        <v>183</v>
      </c>
      <c r="J55" s="11" t="s">
        <v>184</v>
      </c>
      <c r="K55" s="11" t="s">
        <v>177</v>
      </c>
      <c r="L55" s="11" t="s">
        <v>177</v>
      </c>
      <c r="M55" s="11" t="s">
        <v>177</v>
      </c>
    </row>
    <row r="56" spans="1:13" ht="45" customHeight="1" x14ac:dyDescent="0.25">
      <c r="A56" s="11" t="s">
        <v>188</v>
      </c>
      <c r="B56" s="11" t="s">
        <v>177</v>
      </c>
      <c r="C56" s="11" t="s">
        <v>189</v>
      </c>
      <c r="D56" s="11" t="s">
        <v>87</v>
      </c>
      <c r="E56" s="11" t="s">
        <v>247</v>
      </c>
      <c r="F56" s="11" t="s">
        <v>251</v>
      </c>
      <c r="G56" s="11" t="s">
        <v>249</v>
      </c>
      <c r="H56" s="11" t="s">
        <v>182</v>
      </c>
      <c r="I56" s="11" t="s">
        <v>183</v>
      </c>
      <c r="J56" s="11" t="s">
        <v>184</v>
      </c>
      <c r="K56" s="11" t="s">
        <v>177</v>
      </c>
      <c r="L56" s="11" t="s">
        <v>177</v>
      </c>
      <c r="M56" s="11" t="s">
        <v>177</v>
      </c>
    </row>
    <row r="57" spans="1:13" ht="45" customHeight="1" x14ac:dyDescent="0.25">
      <c r="A57" s="11" t="s">
        <v>200</v>
      </c>
      <c r="B57" s="11" t="s">
        <v>177</v>
      </c>
      <c r="C57" s="11" t="s">
        <v>201</v>
      </c>
      <c r="D57" s="11" t="s">
        <v>87</v>
      </c>
      <c r="E57" s="11" t="s">
        <v>247</v>
      </c>
      <c r="F57" s="11" t="s">
        <v>252</v>
      </c>
      <c r="G57" s="11" t="s">
        <v>249</v>
      </c>
      <c r="H57" s="11" t="s">
        <v>182</v>
      </c>
      <c r="I57" s="11" t="s">
        <v>183</v>
      </c>
      <c r="J57" s="11" t="s">
        <v>184</v>
      </c>
      <c r="K57" s="11" t="s">
        <v>177</v>
      </c>
      <c r="L57" s="11" t="s">
        <v>177</v>
      </c>
      <c r="M57" s="11" t="s">
        <v>177</v>
      </c>
    </row>
    <row r="58" spans="1:13" ht="45" customHeight="1" x14ac:dyDescent="0.25">
      <c r="A58" s="11" t="s">
        <v>217</v>
      </c>
      <c r="B58" s="11" t="s">
        <v>177</v>
      </c>
      <c r="C58" s="11" t="s">
        <v>218</v>
      </c>
      <c r="D58" s="11" t="s">
        <v>87</v>
      </c>
      <c r="E58" s="11" t="s">
        <v>247</v>
      </c>
      <c r="F58" s="11" t="s">
        <v>253</v>
      </c>
      <c r="G58" s="11" t="s">
        <v>249</v>
      </c>
      <c r="H58" s="11" t="s">
        <v>182</v>
      </c>
      <c r="I58" s="11" t="s">
        <v>183</v>
      </c>
      <c r="J58" s="11" t="s">
        <v>184</v>
      </c>
      <c r="K58" s="11" t="s">
        <v>177</v>
      </c>
      <c r="L58" s="11" t="s">
        <v>177</v>
      </c>
      <c r="M58" s="11" t="s">
        <v>177</v>
      </c>
    </row>
    <row r="59" spans="1:13" ht="45" customHeight="1" x14ac:dyDescent="0.25">
      <c r="A59" s="11" t="s">
        <v>194</v>
      </c>
      <c r="B59" s="11" t="s">
        <v>177</v>
      </c>
      <c r="C59" s="11" t="s">
        <v>195</v>
      </c>
      <c r="D59" s="11" t="s">
        <v>87</v>
      </c>
      <c r="E59" s="11" t="s">
        <v>247</v>
      </c>
      <c r="F59" s="11" t="s">
        <v>254</v>
      </c>
      <c r="G59" s="11" t="s">
        <v>249</v>
      </c>
      <c r="H59" s="11" t="s">
        <v>182</v>
      </c>
      <c r="I59" s="11" t="s">
        <v>183</v>
      </c>
      <c r="J59" s="11" t="s">
        <v>184</v>
      </c>
      <c r="K59" s="11" t="s">
        <v>177</v>
      </c>
      <c r="L59" s="11" t="s">
        <v>177</v>
      </c>
      <c r="M59" s="11" t="s">
        <v>177</v>
      </c>
    </row>
    <row r="60" spans="1:13" ht="45" customHeight="1" x14ac:dyDescent="0.25">
      <c r="A60" s="11" t="s">
        <v>197</v>
      </c>
      <c r="B60" s="11" t="s">
        <v>177</v>
      </c>
      <c r="C60" s="11" t="s">
        <v>198</v>
      </c>
      <c r="D60" s="11" t="s">
        <v>87</v>
      </c>
      <c r="E60" s="11" t="s">
        <v>247</v>
      </c>
      <c r="F60" s="11" t="s">
        <v>236</v>
      </c>
      <c r="G60" s="11" t="s">
        <v>249</v>
      </c>
      <c r="H60" s="11" t="s">
        <v>182</v>
      </c>
      <c r="I60" s="11" t="s">
        <v>183</v>
      </c>
      <c r="J60" s="11" t="s">
        <v>184</v>
      </c>
      <c r="K60" s="11" t="s">
        <v>177</v>
      </c>
      <c r="L60" s="11" t="s">
        <v>177</v>
      </c>
      <c r="M60" s="11" t="s">
        <v>177</v>
      </c>
    </row>
    <row r="61" spans="1:13" ht="45" customHeight="1" x14ac:dyDescent="0.25">
      <c r="A61" s="11" t="s">
        <v>194</v>
      </c>
      <c r="B61" s="11" t="s">
        <v>177</v>
      </c>
      <c r="C61" s="11" t="s">
        <v>195</v>
      </c>
      <c r="D61" s="11" t="s">
        <v>87</v>
      </c>
      <c r="E61" s="11" t="s">
        <v>247</v>
      </c>
      <c r="F61" s="11" t="s">
        <v>255</v>
      </c>
      <c r="G61" s="11" t="s">
        <v>249</v>
      </c>
      <c r="H61" s="11" t="s">
        <v>182</v>
      </c>
      <c r="I61" s="11" t="s">
        <v>183</v>
      </c>
      <c r="J61" s="11" t="s">
        <v>184</v>
      </c>
      <c r="K61" s="11" t="s">
        <v>177</v>
      </c>
      <c r="L61" s="11" t="s">
        <v>177</v>
      </c>
      <c r="M61" s="11" t="s">
        <v>177</v>
      </c>
    </row>
    <row r="62" spans="1:13" ht="45" customHeight="1" x14ac:dyDescent="0.25">
      <c r="A62" s="11" t="s">
        <v>194</v>
      </c>
      <c r="B62" s="11" t="s">
        <v>177</v>
      </c>
      <c r="C62" s="11" t="s">
        <v>195</v>
      </c>
      <c r="D62" s="11" t="s">
        <v>87</v>
      </c>
      <c r="E62" s="11" t="s">
        <v>247</v>
      </c>
      <c r="F62" s="11" t="s">
        <v>256</v>
      </c>
      <c r="G62" s="11" t="s">
        <v>249</v>
      </c>
      <c r="H62" s="11" t="s">
        <v>182</v>
      </c>
      <c r="I62" s="11" t="s">
        <v>183</v>
      </c>
      <c r="J62" s="11" t="s">
        <v>184</v>
      </c>
      <c r="K62" s="11" t="s">
        <v>177</v>
      </c>
      <c r="L62" s="11" t="s">
        <v>177</v>
      </c>
      <c r="M62" s="11" t="s">
        <v>177</v>
      </c>
    </row>
    <row r="63" spans="1:13" ht="45" customHeight="1" x14ac:dyDescent="0.25">
      <c r="A63" s="11" t="s">
        <v>200</v>
      </c>
      <c r="B63" s="11" t="s">
        <v>177</v>
      </c>
      <c r="C63" s="11" t="s">
        <v>201</v>
      </c>
      <c r="D63" s="11" t="s">
        <v>87</v>
      </c>
      <c r="E63" s="11" t="s">
        <v>247</v>
      </c>
      <c r="F63" s="11" t="s">
        <v>226</v>
      </c>
      <c r="G63" s="11" t="s">
        <v>249</v>
      </c>
      <c r="H63" s="11" t="s">
        <v>182</v>
      </c>
      <c r="I63" s="11" t="s">
        <v>183</v>
      </c>
      <c r="J63" s="11" t="s">
        <v>184</v>
      </c>
      <c r="K63" s="11" t="s">
        <v>177</v>
      </c>
      <c r="L63" s="11" t="s">
        <v>177</v>
      </c>
      <c r="M63" s="11" t="s">
        <v>177</v>
      </c>
    </row>
    <row r="64" spans="1:13" ht="45" customHeight="1" x14ac:dyDescent="0.25">
      <c r="A64" s="11" t="s">
        <v>191</v>
      </c>
      <c r="B64" s="11" t="s">
        <v>177</v>
      </c>
      <c r="C64" s="11" t="s">
        <v>192</v>
      </c>
      <c r="D64" s="11" t="s">
        <v>87</v>
      </c>
      <c r="E64" s="11" t="s">
        <v>247</v>
      </c>
      <c r="F64" s="11" t="s">
        <v>227</v>
      </c>
      <c r="G64" s="11" t="s">
        <v>249</v>
      </c>
      <c r="H64" s="11" t="s">
        <v>182</v>
      </c>
      <c r="I64" s="11" t="s">
        <v>183</v>
      </c>
      <c r="J64" s="11" t="s">
        <v>184</v>
      </c>
      <c r="K64" s="11" t="s">
        <v>177</v>
      </c>
      <c r="L64" s="11" t="s">
        <v>177</v>
      </c>
      <c r="M64" s="11" t="s">
        <v>177</v>
      </c>
    </row>
    <row r="65" spans="1:13" ht="45" customHeight="1" x14ac:dyDescent="0.25">
      <c r="A65" s="11" t="s">
        <v>188</v>
      </c>
      <c r="B65" s="11" t="s">
        <v>177</v>
      </c>
      <c r="C65" s="11" t="s">
        <v>189</v>
      </c>
      <c r="D65" s="11" t="s">
        <v>87</v>
      </c>
      <c r="E65" s="11" t="s">
        <v>247</v>
      </c>
      <c r="F65" s="11" t="s">
        <v>257</v>
      </c>
      <c r="G65" s="11" t="s">
        <v>249</v>
      </c>
      <c r="H65" s="11" t="s">
        <v>182</v>
      </c>
      <c r="I65" s="11" t="s">
        <v>183</v>
      </c>
      <c r="J65" s="11" t="s">
        <v>184</v>
      </c>
      <c r="K65" s="11" t="s">
        <v>177</v>
      </c>
      <c r="L65" s="11" t="s">
        <v>177</v>
      </c>
      <c r="M65" s="11" t="s">
        <v>177</v>
      </c>
    </row>
    <row r="66" spans="1:13" ht="45" customHeight="1" x14ac:dyDescent="0.25">
      <c r="A66" s="11" t="s">
        <v>194</v>
      </c>
      <c r="B66" s="11" t="s">
        <v>177</v>
      </c>
      <c r="C66" s="11" t="s">
        <v>195</v>
      </c>
      <c r="D66" s="11" t="s">
        <v>87</v>
      </c>
      <c r="E66" s="11" t="s">
        <v>247</v>
      </c>
      <c r="F66" s="11" t="s">
        <v>258</v>
      </c>
      <c r="G66" s="11" t="s">
        <v>249</v>
      </c>
      <c r="H66" s="11" t="s">
        <v>182</v>
      </c>
      <c r="I66" s="11" t="s">
        <v>183</v>
      </c>
      <c r="J66" s="11" t="s">
        <v>184</v>
      </c>
      <c r="K66" s="11" t="s">
        <v>177</v>
      </c>
      <c r="L66" s="11" t="s">
        <v>177</v>
      </c>
      <c r="M66" s="11" t="s">
        <v>177</v>
      </c>
    </row>
    <row r="67" spans="1:13" ht="45" customHeight="1" x14ac:dyDescent="0.25">
      <c r="A67" s="11" t="s">
        <v>185</v>
      </c>
      <c r="B67" s="11" t="s">
        <v>177</v>
      </c>
      <c r="C67" s="11" t="s">
        <v>186</v>
      </c>
      <c r="D67" s="11" t="s">
        <v>87</v>
      </c>
      <c r="E67" s="11" t="s">
        <v>247</v>
      </c>
      <c r="F67" s="11" t="s">
        <v>259</v>
      </c>
      <c r="G67" s="11" t="s">
        <v>249</v>
      </c>
      <c r="H67" s="11" t="s">
        <v>182</v>
      </c>
      <c r="I67" s="11" t="s">
        <v>183</v>
      </c>
      <c r="J67" s="11" t="s">
        <v>184</v>
      </c>
      <c r="K67" s="11" t="s">
        <v>177</v>
      </c>
      <c r="L67" s="11" t="s">
        <v>177</v>
      </c>
      <c r="M67" s="11" t="s">
        <v>177</v>
      </c>
    </row>
    <row r="68" spans="1:13" ht="45" customHeight="1" x14ac:dyDescent="0.25">
      <c r="A68" s="11" t="s">
        <v>176</v>
      </c>
      <c r="B68" s="11" t="s">
        <v>177</v>
      </c>
      <c r="C68" s="11" t="s">
        <v>178</v>
      </c>
      <c r="D68" s="11" t="s">
        <v>87</v>
      </c>
      <c r="E68" s="11" t="s">
        <v>247</v>
      </c>
      <c r="F68" s="11" t="s">
        <v>259</v>
      </c>
      <c r="G68" s="11" t="s">
        <v>249</v>
      </c>
      <c r="H68" s="11" t="s">
        <v>182</v>
      </c>
      <c r="I68" s="11" t="s">
        <v>183</v>
      </c>
      <c r="J68" s="11" t="s">
        <v>184</v>
      </c>
      <c r="K68" s="11" t="s">
        <v>177</v>
      </c>
      <c r="L68" s="11" t="s">
        <v>177</v>
      </c>
      <c r="M68" s="11" t="s">
        <v>177</v>
      </c>
    </row>
    <row r="69" spans="1:13" ht="45" customHeight="1" x14ac:dyDescent="0.25">
      <c r="A69" s="11" t="s">
        <v>188</v>
      </c>
      <c r="B69" s="11" t="s">
        <v>177</v>
      </c>
      <c r="C69" s="11" t="s">
        <v>189</v>
      </c>
      <c r="D69" s="11" t="s">
        <v>87</v>
      </c>
      <c r="E69" s="11" t="s">
        <v>260</v>
      </c>
      <c r="F69" s="11" t="s">
        <v>261</v>
      </c>
      <c r="G69" s="11" t="s">
        <v>262</v>
      </c>
      <c r="H69" s="11" t="s">
        <v>182</v>
      </c>
      <c r="I69" s="11" t="s">
        <v>183</v>
      </c>
      <c r="J69" s="11" t="s">
        <v>184</v>
      </c>
      <c r="K69" s="11" t="s">
        <v>177</v>
      </c>
      <c r="L69" s="11" t="s">
        <v>177</v>
      </c>
      <c r="M69" s="11" t="s">
        <v>177</v>
      </c>
    </row>
    <row r="70" spans="1:13" ht="45" customHeight="1" x14ac:dyDescent="0.25">
      <c r="A70" s="11" t="s">
        <v>185</v>
      </c>
      <c r="B70" s="11" t="s">
        <v>177</v>
      </c>
      <c r="C70" s="11" t="s">
        <v>186</v>
      </c>
      <c r="D70" s="11" t="s">
        <v>87</v>
      </c>
      <c r="E70" s="11" t="s">
        <v>260</v>
      </c>
      <c r="F70" s="11" t="s">
        <v>263</v>
      </c>
      <c r="G70" s="11" t="s">
        <v>262</v>
      </c>
      <c r="H70" s="11" t="s">
        <v>182</v>
      </c>
      <c r="I70" s="11" t="s">
        <v>183</v>
      </c>
      <c r="J70" s="11" t="s">
        <v>184</v>
      </c>
      <c r="K70" s="11" t="s">
        <v>177</v>
      </c>
      <c r="L70" s="11" t="s">
        <v>177</v>
      </c>
      <c r="M70" s="11" t="s">
        <v>177</v>
      </c>
    </row>
    <row r="71" spans="1:13" ht="45" customHeight="1" x14ac:dyDescent="0.25">
      <c r="A71" s="11" t="s">
        <v>200</v>
      </c>
      <c r="B71" s="11" t="s">
        <v>177</v>
      </c>
      <c r="C71" s="11" t="s">
        <v>201</v>
      </c>
      <c r="D71" s="11" t="s">
        <v>87</v>
      </c>
      <c r="E71" s="11" t="s">
        <v>260</v>
      </c>
      <c r="F71" s="11" t="s">
        <v>193</v>
      </c>
      <c r="G71" s="11" t="s">
        <v>262</v>
      </c>
      <c r="H71" s="11" t="s">
        <v>182</v>
      </c>
      <c r="I71" s="11" t="s">
        <v>183</v>
      </c>
      <c r="J71" s="11" t="s">
        <v>184</v>
      </c>
      <c r="K71" s="11" t="s">
        <v>177</v>
      </c>
      <c r="L71" s="11" t="s">
        <v>177</v>
      </c>
      <c r="M71" s="11" t="s">
        <v>177</v>
      </c>
    </row>
    <row r="72" spans="1:13" ht="45" customHeight="1" x14ac:dyDescent="0.25">
      <c r="A72" s="11" t="s">
        <v>217</v>
      </c>
      <c r="B72" s="11" t="s">
        <v>177</v>
      </c>
      <c r="C72" s="11" t="s">
        <v>218</v>
      </c>
      <c r="D72" s="11" t="s">
        <v>87</v>
      </c>
      <c r="E72" s="11" t="s">
        <v>260</v>
      </c>
      <c r="F72" s="11" t="s">
        <v>193</v>
      </c>
      <c r="G72" s="11" t="s">
        <v>262</v>
      </c>
      <c r="H72" s="11" t="s">
        <v>182</v>
      </c>
      <c r="I72" s="11" t="s">
        <v>183</v>
      </c>
      <c r="J72" s="11" t="s">
        <v>184</v>
      </c>
      <c r="K72" s="11" t="s">
        <v>177</v>
      </c>
      <c r="L72" s="11" t="s">
        <v>177</v>
      </c>
      <c r="M72" s="11" t="s">
        <v>177</v>
      </c>
    </row>
    <row r="73" spans="1:13" ht="45" customHeight="1" x14ac:dyDescent="0.25">
      <c r="A73" s="11" t="s">
        <v>191</v>
      </c>
      <c r="B73" s="11" t="s">
        <v>177</v>
      </c>
      <c r="C73" s="11" t="s">
        <v>192</v>
      </c>
      <c r="D73" s="11" t="s">
        <v>87</v>
      </c>
      <c r="E73" s="11" t="s">
        <v>260</v>
      </c>
      <c r="F73" s="11" t="s">
        <v>264</v>
      </c>
      <c r="G73" s="11" t="s">
        <v>262</v>
      </c>
      <c r="H73" s="11" t="s">
        <v>182</v>
      </c>
      <c r="I73" s="11" t="s">
        <v>183</v>
      </c>
      <c r="J73" s="11" t="s">
        <v>184</v>
      </c>
      <c r="K73" s="11" t="s">
        <v>177</v>
      </c>
      <c r="L73" s="11" t="s">
        <v>177</v>
      </c>
      <c r="M73" s="11" t="s">
        <v>177</v>
      </c>
    </row>
    <row r="74" spans="1:13" ht="45" customHeight="1" x14ac:dyDescent="0.25">
      <c r="A74" s="11" t="s">
        <v>176</v>
      </c>
      <c r="B74" s="11" t="s">
        <v>177</v>
      </c>
      <c r="C74" s="11" t="s">
        <v>178</v>
      </c>
      <c r="D74" s="11" t="s">
        <v>87</v>
      </c>
      <c r="E74" s="11" t="s">
        <v>260</v>
      </c>
      <c r="F74" s="11" t="s">
        <v>265</v>
      </c>
      <c r="G74" s="11" t="s">
        <v>262</v>
      </c>
      <c r="H74" s="11" t="s">
        <v>182</v>
      </c>
      <c r="I74" s="11" t="s">
        <v>183</v>
      </c>
      <c r="J74" s="11" t="s">
        <v>184</v>
      </c>
      <c r="K74" s="11" t="s">
        <v>177</v>
      </c>
      <c r="L74" s="11" t="s">
        <v>177</v>
      </c>
      <c r="M74" s="11" t="s">
        <v>177</v>
      </c>
    </row>
    <row r="75" spans="1:13" ht="45" customHeight="1" x14ac:dyDescent="0.25">
      <c r="A75" s="11" t="s">
        <v>194</v>
      </c>
      <c r="B75" s="11" t="s">
        <v>177</v>
      </c>
      <c r="C75" s="11" t="s">
        <v>195</v>
      </c>
      <c r="D75" s="11" t="s">
        <v>87</v>
      </c>
      <c r="E75" s="11" t="s">
        <v>260</v>
      </c>
      <c r="F75" s="11" t="s">
        <v>266</v>
      </c>
      <c r="G75" s="11" t="s">
        <v>262</v>
      </c>
      <c r="H75" s="11" t="s">
        <v>182</v>
      </c>
      <c r="I75" s="11" t="s">
        <v>183</v>
      </c>
      <c r="J75" s="11" t="s">
        <v>184</v>
      </c>
      <c r="K75" s="11" t="s">
        <v>177</v>
      </c>
      <c r="L75" s="11" t="s">
        <v>177</v>
      </c>
      <c r="M75" s="11" t="s">
        <v>177</v>
      </c>
    </row>
    <row r="76" spans="1:13" ht="45" customHeight="1" x14ac:dyDescent="0.25">
      <c r="A76" s="11" t="s">
        <v>197</v>
      </c>
      <c r="B76" s="11" t="s">
        <v>177</v>
      </c>
      <c r="C76" s="11" t="s">
        <v>198</v>
      </c>
      <c r="D76" s="11" t="s">
        <v>87</v>
      </c>
      <c r="E76" s="11" t="s">
        <v>260</v>
      </c>
      <c r="F76" s="11" t="s">
        <v>221</v>
      </c>
      <c r="G76" s="11" t="s">
        <v>262</v>
      </c>
      <c r="H76" s="11" t="s">
        <v>182</v>
      </c>
      <c r="I76" s="11" t="s">
        <v>183</v>
      </c>
      <c r="J76" s="11" t="s">
        <v>184</v>
      </c>
      <c r="K76" s="11" t="s">
        <v>177</v>
      </c>
      <c r="L76" s="11" t="s">
        <v>177</v>
      </c>
      <c r="M76" s="11" t="s">
        <v>177</v>
      </c>
    </row>
    <row r="77" spans="1:13" ht="45" customHeight="1" x14ac:dyDescent="0.25">
      <c r="A77" s="11" t="s">
        <v>194</v>
      </c>
      <c r="B77" s="11" t="s">
        <v>177</v>
      </c>
      <c r="C77" s="11" t="s">
        <v>195</v>
      </c>
      <c r="D77" s="11" t="s">
        <v>87</v>
      </c>
      <c r="E77" s="11" t="s">
        <v>260</v>
      </c>
      <c r="F77" s="11" t="s">
        <v>267</v>
      </c>
      <c r="G77" s="11" t="s">
        <v>262</v>
      </c>
      <c r="H77" s="11" t="s">
        <v>182</v>
      </c>
      <c r="I77" s="11" t="s">
        <v>183</v>
      </c>
      <c r="J77" s="11" t="s">
        <v>184</v>
      </c>
      <c r="K77" s="11" t="s">
        <v>177</v>
      </c>
      <c r="L77" s="11" t="s">
        <v>177</v>
      </c>
      <c r="M77" s="11" t="s">
        <v>177</v>
      </c>
    </row>
    <row r="78" spans="1:13" ht="45" customHeight="1" x14ac:dyDescent="0.25">
      <c r="A78" s="11" t="s">
        <v>194</v>
      </c>
      <c r="B78" s="11" t="s">
        <v>177</v>
      </c>
      <c r="C78" s="11" t="s">
        <v>195</v>
      </c>
      <c r="D78" s="11" t="s">
        <v>87</v>
      </c>
      <c r="E78" s="11" t="s">
        <v>260</v>
      </c>
      <c r="F78" s="11" t="s">
        <v>268</v>
      </c>
      <c r="G78" s="11" t="s">
        <v>262</v>
      </c>
      <c r="H78" s="11" t="s">
        <v>182</v>
      </c>
      <c r="I78" s="11" t="s">
        <v>183</v>
      </c>
      <c r="J78" s="11" t="s">
        <v>184</v>
      </c>
      <c r="K78" s="11" t="s">
        <v>177</v>
      </c>
      <c r="L78" s="11" t="s">
        <v>177</v>
      </c>
      <c r="M78" s="11" t="s">
        <v>177</v>
      </c>
    </row>
    <row r="79" spans="1:13" ht="45" customHeight="1" x14ac:dyDescent="0.25">
      <c r="A79" s="11" t="s">
        <v>197</v>
      </c>
      <c r="B79" s="11" t="s">
        <v>177</v>
      </c>
      <c r="C79" s="11" t="s">
        <v>198</v>
      </c>
      <c r="D79" s="11" t="s">
        <v>87</v>
      </c>
      <c r="E79" s="11" t="s">
        <v>260</v>
      </c>
      <c r="F79" s="11" t="s">
        <v>269</v>
      </c>
      <c r="G79" s="11" t="s">
        <v>262</v>
      </c>
      <c r="H79" s="11" t="s">
        <v>182</v>
      </c>
      <c r="I79" s="11" t="s">
        <v>183</v>
      </c>
      <c r="J79" s="11" t="s">
        <v>184</v>
      </c>
      <c r="K79" s="11" t="s">
        <v>177</v>
      </c>
      <c r="L79" s="11" t="s">
        <v>177</v>
      </c>
      <c r="M79" s="11" t="s">
        <v>177</v>
      </c>
    </row>
    <row r="80" spans="1:13" ht="45" customHeight="1" x14ac:dyDescent="0.25">
      <c r="A80" s="11" t="s">
        <v>200</v>
      </c>
      <c r="B80" s="11" t="s">
        <v>177</v>
      </c>
      <c r="C80" s="11" t="s">
        <v>201</v>
      </c>
      <c r="D80" s="11" t="s">
        <v>87</v>
      </c>
      <c r="E80" s="11" t="s">
        <v>260</v>
      </c>
      <c r="F80" s="11" t="s">
        <v>270</v>
      </c>
      <c r="G80" s="11" t="s">
        <v>262</v>
      </c>
      <c r="H80" s="11" t="s">
        <v>182</v>
      </c>
      <c r="I80" s="11" t="s">
        <v>183</v>
      </c>
      <c r="J80" s="11" t="s">
        <v>184</v>
      </c>
      <c r="K80" s="11" t="s">
        <v>177</v>
      </c>
      <c r="L80" s="11" t="s">
        <v>177</v>
      </c>
      <c r="M80" s="11" t="s">
        <v>177</v>
      </c>
    </row>
    <row r="81" spans="1:13" ht="45" customHeight="1" x14ac:dyDescent="0.25">
      <c r="A81" s="11" t="s">
        <v>191</v>
      </c>
      <c r="B81" s="11" t="s">
        <v>177</v>
      </c>
      <c r="C81" s="11" t="s">
        <v>192</v>
      </c>
      <c r="D81" s="11" t="s">
        <v>87</v>
      </c>
      <c r="E81" s="11" t="s">
        <v>260</v>
      </c>
      <c r="F81" s="11" t="s">
        <v>271</v>
      </c>
      <c r="G81" s="11" t="s">
        <v>262</v>
      </c>
      <c r="H81" s="11" t="s">
        <v>182</v>
      </c>
      <c r="I81" s="11" t="s">
        <v>183</v>
      </c>
      <c r="J81" s="11" t="s">
        <v>184</v>
      </c>
      <c r="K81" s="11" t="s">
        <v>177</v>
      </c>
      <c r="L81" s="11" t="s">
        <v>177</v>
      </c>
      <c r="M81" s="11" t="s">
        <v>177</v>
      </c>
    </row>
    <row r="82" spans="1:13" ht="45" customHeight="1" x14ac:dyDescent="0.25">
      <c r="A82" s="11" t="s">
        <v>188</v>
      </c>
      <c r="B82" s="11" t="s">
        <v>177</v>
      </c>
      <c r="C82" s="11" t="s">
        <v>189</v>
      </c>
      <c r="D82" s="11" t="s">
        <v>87</v>
      </c>
      <c r="E82" s="11" t="s">
        <v>260</v>
      </c>
      <c r="F82" s="11" t="s">
        <v>272</v>
      </c>
      <c r="G82" s="11" t="s">
        <v>262</v>
      </c>
      <c r="H82" s="11" t="s">
        <v>182</v>
      </c>
      <c r="I82" s="11" t="s">
        <v>183</v>
      </c>
      <c r="J82" s="11" t="s">
        <v>184</v>
      </c>
      <c r="K82" s="11" t="s">
        <v>177</v>
      </c>
      <c r="L82" s="11" t="s">
        <v>177</v>
      </c>
      <c r="M82" s="11" t="s">
        <v>177</v>
      </c>
    </row>
    <row r="83" spans="1:13" ht="45" customHeight="1" x14ac:dyDescent="0.25">
      <c r="A83" s="11" t="s">
        <v>176</v>
      </c>
      <c r="B83" s="11" t="s">
        <v>177</v>
      </c>
      <c r="C83" s="11" t="s">
        <v>178</v>
      </c>
      <c r="D83" s="11" t="s">
        <v>87</v>
      </c>
      <c r="E83" s="11" t="s">
        <v>260</v>
      </c>
      <c r="F83" s="11" t="s">
        <v>273</v>
      </c>
      <c r="G83" s="11" t="s">
        <v>262</v>
      </c>
      <c r="H83" s="11" t="s">
        <v>182</v>
      </c>
      <c r="I83" s="11" t="s">
        <v>183</v>
      </c>
      <c r="J83" s="11" t="s">
        <v>184</v>
      </c>
      <c r="K83" s="11" t="s">
        <v>177</v>
      </c>
      <c r="L83" s="11" t="s">
        <v>177</v>
      </c>
      <c r="M83" s="11" t="s">
        <v>177</v>
      </c>
    </row>
    <row r="84" spans="1:13" ht="45" customHeight="1" x14ac:dyDescent="0.25">
      <c r="A84" s="11" t="s">
        <v>197</v>
      </c>
      <c r="B84" s="11" t="s">
        <v>177</v>
      </c>
      <c r="C84" s="11" t="s">
        <v>198</v>
      </c>
      <c r="D84" s="11" t="s">
        <v>87</v>
      </c>
      <c r="E84" s="11" t="s">
        <v>260</v>
      </c>
      <c r="F84" s="11" t="s">
        <v>274</v>
      </c>
      <c r="G84" s="11" t="s">
        <v>262</v>
      </c>
      <c r="H84" s="11" t="s">
        <v>182</v>
      </c>
      <c r="I84" s="11" t="s">
        <v>183</v>
      </c>
      <c r="J84" s="11" t="s">
        <v>184</v>
      </c>
      <c r="K84" s="11" t="s">
        <v>177</v>
      </c>
      <c r="L84" s="11" t="s">
        <v>177</v>
      </c>
      <c r="M84" s="11" t="s">
        <v>177</v>
      </c>
    </row>
    <row r="85" spans="1:13" ht="45" customHeight="1" x14ac:dyDescent="0.25">
      <c r="A85" s="11" t="s">
        <v>194</v>
      </c>
      <c r="B85" s="11" t="s">
        <v>177</v>
      </c>
      <c r="C85" s="11" t="s">
        <v>195</v>
      </c>
      <c r="D85" s="11" t="s">
        <v>87</v>
      </c>
      <c r="E85" s="11" t="s">
        <v>260</v>
      </c>
      <c r="F85" s="11" t="s">
        <v>275</v>
      </c>
      <c r="G85" s="11" t="s">
        <v>262</v>
      </c>
      <c r="H85" s="11" t="s">
        <v>182</v>
      </c>
      <c r="I85" s="11" t="s">
        <v>183</v>
      </c>
      <c r="J85" s="11" t="s">
        <v>184</v>
      </c>
      <c r="K85" s="11" t="s">
        <v>177</v>
      </c>
      <c r="L85" s="11" t="s">
        <v>177</v>
      </c>
      <c r="M85" s="11" t="s">
        <v>177</v>
      </c>
    </row>
    <row r="86" spans="1:13" ht="45" customHeight="1" x14ac:dyDescent="0.25">
      <c r="A86" s="11" t="s">
        <v>185</v>
      </c>
      <c r="B86" s="11" t="s">
        <v>177</v>
      </c>
      <c r="C86" s="11" t="s">
        <v>186</v>
      </c>
      <c r="D86" s="11" t="s">
        <v>87</v>
      </c>
      <c r="E86" s="11" t="s">
        <v>260</v>
      </c>
      <c r="F86" s="11" t="s">
        <v>276</v>
      </c>
      <c r="G86" s="11" t="s">
        <v>262</v>
      </c>
      <c r="H86" s="11" t="s">
        <v>182</v>
      </c>
      <c r="I86" s="11" t="s">
        <v>183</v>
      </c>
      <c r="J86" s="11" t="s">
        <v>184</v>
      </c>
      <c r="K86" s="11" t="s">
        <v>177</v>
      </c>
      <c r="L86" s="11" t="s">
        <v>177</v>
      </c>
      <c r="M86" s="11" t="s">
        <v>177</v>
      </c>
    </row>
    <row r="87" spans="1:13" ht="45" customHeight="1" x14ac:dyDescent="0.25">
      <c r="A87" s="11" t="s">
        <v>176</v>
      </c>
      <c r="B87" s="11" t="s">
        <v>177</v>
      </c>
      <c r="C87" s="11" t="s">
        <v>178</v>
      </c>
      <c r="D87" s="11" t="s">
        <v>87</v>
      </c>
      <c r="E87" s="11" t="s">
        <v>277</v>
      </c>
      <c r="F87" s="11" t="s">
        <v>278</v>
      </c>
      <c r="G87" s="11" t="s">
        <v>279</v>
      </c>
      <c r="H87" s="11" t="s">
        <v>182</v>
      </c>
      <c r="I87" s="11" t="s">
        <v>183</v>
      </c>
      <c r="J87" s="11" t="s">
        <v>184</v>
      </c>
      <c r="K87" s="11" t="s">
        <v>177</v>
      </c>
      <c r="L87" s="11" t="s">
        <v>177</v>
      </c>
      <c r="M87" s="11" t="s">
        <v>177</v>
      </c>
    </row>
    <row r="88" spans="1:13" ht="45" customHeight="1" x14ac:dyDescent="0.25">
      <c r="A88" s="11" t="s">
        <v>188</v>
      </c>
      <c r="B88" s="11" t="s">
        <v>177</v>
      </c>
      <c r="C88" s="11" t="s">
        <v>189</v>
      </c>
      <c r="D88" s="11" t="s">
        <v>87</v>
      </c>
      <c r="E88" s="11" t="s">
        <v>277</v>
      </c>
      <c r="F88" s="11" t="s">
        <v>214</v>
      </c>
      <c r="G88" s="11" t="s">
        <v>279</v>
      </c>
      <c r="H88" s="11" t="s">
        <v>182</v>
      </c>
      <c r="I88" s="11" t="s">
        <v>183</v>
      </c>
      <c r="J88" s="11" t="s">
        <v>184</v>
      </c>
      <c r="K88" s="11" t="s">
        <v>177</v>
      </c>
      <c r="L88" s="11" t="s">
        <v>177</v>
      </c>
      <c r="M88" s="11" t="s">
        <v>177</v>
      </c>
    </row>
    <row r="89" spans="1:13" ht="45" customHeight="1" x14ac:dyDescent="0.25">
      <c r="A89" s="11" t="s">
        <v>185</v>
      </c>
      <c r="B89" s="11" t="s">
        <v>177</v>
      </c>
      <c r="C89" s="11" t="s">
        <v>186</v>
      </c>
      <c r="D89" s="11" t="s">
        <v>87</v>
      </c>
      <c r="E89" s="11" t="s">
        <v>277</v>
      </c>
      <c r="F89" s="11" t="s">
        <v>280</v>
      </c>
      <c r="G89" s="11" t="s">
        <v>279</v>
      </c>
      <c r="H89" s="11" t="s">
        <v>182</v>
      </c>
      <c r="I89" s="11" t="s">
        <v>183</v>
      </c>
      <c r="J89" s="11" t="s">
        <v>184</v>
      </c>
      <c r="K89" s="11" t="s">
        <v>177</v>
      </c>
      <c r="L89" s="11" t="s">
        <v>177</v>
      </c>
      <c r="M89" s="11" t="s">
        <v>177</v>
      </c>
    </row>
    <row r="90" spans="1:13" ht="45" customHeight="1" x14ac:dyDescent="0.25">
      <c r="A90" s="11" t="s">
        <v>191</v>
      </c>
      <c r="B90" s="11" t="s">
        <v>177</v>
      </c>
      <c r="C90" s="11" t="s">
        <v>192</v>
      </c>
      <c r="D90" s="11" t="s">
        <v>87</v>
      </c>
      <c r="E90" s="11" t="s">
        <v>277</v>
      </c>
      <c r="F90" s="11" t="s">
        <v>281</v>
      </c>
      <c r="G90" s="11" t="s">
        <v>279</v>
      </c>
      <c r="H90" s="11" t="s">
        <v>182</v>
      </c>
      <c r="I90" s="11" t="s">
        <v>183</v>
      </c>
      <c r="J90" s="11" t="s">
        <v>184</v>
      </c>
      <c r="K90" s="11" t="s">
        <v>177</v>
      </c>
      <c r="L90" s="11" t="s">
        <v>177</v>
      </c>
      <c r="M90" s="11" t="s">
        <v>177</v>
      </c>
    </row>
    <row r="91" spans="1:13" ht="45" customHeight="1" x14ac:dyDescent="0.25">
      <c r="A91" s="11" t="s">
        <v>200</v>
      </c>
      <c r="B91" s="11" t="s">
        <v>177</v>
      </c>
      <c r="C91" s="11" t="s">
        <v>201</v>
      </c>
      <c r="D91" s="11" t="s">
        <v>87</v>
      </c>
      <c r="E91" s="11" t="s">
        <v>277</v>
      </c>
      <c r="F91" s="11" t="s">
        <v>282</v>
      </c>
      <c r="G91" s="11" t="s">
        <v>279</v>
      </c>
      <c r="H91" s="11" t="s">
        <v>182</v>
      </c>
      <c r="I91" s="11" t="s">
        <v>183</v>
      </c>
      <c r="J91" s="11" t="s">
        <v>184</v>
      </c>
      <c r="K91" s="11" t="s">
        <v>177</v>
      </c>
      <c r="L91" s="11" t="s">
        <v>177</v>
      </c>
      <c r="M91" s="11" t="s">
        <v>177</v>
      </c>
    </row>
    <row r="92" spans="1:13" ht="45" customHeight="1" x14ac:dyDescent="0.25">
      <c r="A92" s="11" t="s">
        <v>217</v>
      </c>
      <c r="B92" s="11" t="s">
        <v>177</v>
      </c>
      <c r="C92" s="11" t="s">
        <v>218</v>
      </c>
      <c r="D92" s="11" t="s">
        <v>87</v>
      </c>
      <c r="E92" s="11" t="s">
        <v>277</v>
      </c>
      <c r="F92" s="11" t="s">
        <v>253</v>
      </c>
      <c r="G92" s="11" t="s">
        <v>279</v>
      </c>
      <c r="H92" s="11" t="s">
        <v>182</v>
      </c>
      <c r="I92" s="11" t="s">
        <v>183</v>
      </c>
      <c r="J92" s="11" t="s">
        <v>184</v>
      </c>
      <c r="K92" s="11" t="s">
        <v>177</v>
      </c>
      <c r="L92" s="11" t="s">
        <v>177</v>
      </c>
      <c r="M92" s="11" t="s">
        <v>177</v>
      </c>
    </row>
    <row r="93" spans="1:13" ht="45" customHeight="1" x14ac:dyDescent="0.25">
      <c r="A93" s="11" t="s">
        <v>197</v>
      </c>
      <c r="B93" s="11" t="s">
        <v>177</v>
      </c>
      <c r="C93" s="11" t="s">
        <v>198</v>
      </c>
      <c r="D93" s="11" t="s">
        <v>87</v>
      </c>
      <c r="E93" s="11" t="s">
        <v>277</v>
      </c>
      <c r="F93" s="11" t="s">
        <v>220</v>
      </c>
      <c r="G93" s="11" t="s">
        <v>279</v>
      </c>
      <c r="H93" s="11" t="s">
        <v>182</v>
      </c>
      <c r="I93" s="11" t="s">
        <v>183</v>
      </c>
      <c r="J93" s="11" t="s">
        <v>184</v>
      </c>
      <c r="K93" s="11" t="s">
        <v>177</v>
      </c>
      <c r="L93" s="11" t="s">
        <v>177</v>
      </c>
      <c r="M93" s="11" t="s">
        <v>177</v>
      </c>
    </row>
    <row r="94" spans="1:13" ht="45" customHeight="1" x14ac:dyDescent="0.25">
      <c r="A94" s="11" t="s">
        <v>194</v>
      </c>
      <c r="B94" s="11" t="s">
        <v>177</v>
      </c>
      <c r="C94" s="11" t="s">
        <v>195</v>
      </c>
      <c r="D94" s="11" t="s">
        <v>87</v>
      </c>
      <c r="E94" s="11" t="s">
        <v>277</v>
      </c>
      <c r="F94" s="11" t="s">
        <v>236</v>
      </c>
      <c r="G94" s="11" t="s">
        <v>279</v>
      </c>
      <c r="H94" s="11" t="s">
        <v>182</v>
      </c>
      <c r="I94" s="11" t="s">
        <v>183</v>
      </c>
      <c r="J94" s="11" t="s">
        <v>184</v>
      </c>
      <c r="K94" s="11" t="s">
        <v>177</v>
      </c>
      <c r="L94" s="11" t="s">
        <v>177</v>
      </c>
      <c r="M94" s="11" t="s">
        <v>177</v>
      </c>
    </row>
    <row r="95" spans="1:13" ht="45" customHeight="1" x14ac:dyDescent="0.25">
      <c r="A95" s="11" t="s">
        <v>194</v>
      </c>
      <c r="B95" s="11" t="s">
        <v>177</v>
      </c>
      <c r="C95" s="11" t="s">
        <v>195</v>
      </c>
      <c r="D95" s="11" t="s">
        <v>87</v>
      </c>
      <c r="E95" s="11" t="s">
        <v>277</v>
      </c>
      <c r="F95" s="11" t="s">
        <v>283</v>
      </c>
      <c r="G95" s="11" t="s">
        <v>279</v>
      </c>
      <c r="H95" s="11" t="s">
        <v>182</v>
      </c>
      <c r="I95" s="11" t="s">
        <v>183</v>
      </c>
      <c r="J95" s="11" t="s">
        <v>184</v>
      </c>
      <c r="K95" s="11" t="s">
        <v>177</v>
      </c>
      <c r="L95" s="11" t="s">
        <v>177</v>
      </c>
      <c r="M95" s="11" t="s">
        <v>177</v>
      </c>
    </row>
    <row r="96" spans="1:13" ht="45" customHeight="1" x14ac:dyDescent="0.25">
      <c r="A96" s="11" t="s">
        <v>197</v>
      </c>
      <c r="B96" s="11" t="s">
        <v>177</v>
      </c>
      <c r="C96" s="11" t="s">
        <v>198</v>
      </c>
      <c r="D96" s="11" t="s">
        <v>87</v>
      </c>
      <c r="E96" s="11" t="s">
        <v>277</v>
      </c>
      <c r="F96" s="11" t="s">
        <v>269</v>
      </c>
      <c r="G96" s="11" t="s">
        <v>279</v>
      </c>
      <c r="H96" s="11" t="s">
        <v>182</v>
      </c>
      <c r="I96" s="11" t="s">
        <v>183</v>
      </c>
      <c r="J96" s="11" t="s">
        <v>184</v>
      </c>
      <c r="K96" s="11" t="s">
        <v>177</v>
      </c>
      <c r="L96" s="11" t="s">
        <v>177</v>
      </c>
      <c r="M96" s="11" t="s">
        <v>177</v>
      </c>
    </row>
    <row r="97" spans="1:13" ht="45" customHeight="1" x14ac:dyDescent="0.25">
      <c r="A97" s="11" t="s">
        <v>194</v>
      </c>
      <c r="B97" s="11" t="s">
        <v>177</v>
      </c>
      <c r="C97" s="11" t="s">
        <v>195</v>
      </c>
      <c r="D97" s="11" t="s">
        <v>87</v>
      </c>
      <c r="E97" s="11" t="s">
        <v>277</v>
      </c>
      <c r="F97" s="11" t="s">
        <v>204</v>
      </c>
      <c r="G97" s="11" t="s">
        <v>279</v>
      </c>
      <c r="H97" s="11" t="s">
        <v>182</v>
      </c>
      <c r="I97" s="11" t="s">
        <v>183</v>
      </c>
      <c r="J97" s="11" t="s">
        <v>184</v>
      </c>
      <c r="K97" s="11" t="s">
        <v>177</v>
      </c>
      <c r="L97" s="11" t="s">
        <v>177</v>
      </c>
      <c r="M97" s="11" t="s">
        <v>177</v>
      </c>
    </row>
    <row r="98" spans="1:13" ht="45" customHeight="1" x14ac:dyDescent="0.25">
      <c r="A98" s="11" t="s">
        <v>191</v>
      </c>
      <c r="B98" s="11" t="s">
        <v>177</v>
      </c>
      <c r="C98" s="11" t="s">
        <v>192</v>
      </c>
      <c r="D98" s="11" t="s">
        <v>87</v>
      </c>
      <c r="E98" s="11" t="s">
        <v>277</v>
      </c>
      <c r="F98" s="11" t="s">
        <v>284</v>
      </c>
      <c r="G98" s="11" t="s">
        <v>279</v>
      </c>
      <c r="H98" s="11" t="s">
        <v>182</v>
      </c>
      <c r="I98" s="11" t="s">
        <v>183</v>
      </c>
      <c r="J98" s="11" t="s">
        <v>184</v>
      </c>
      <c r="K98" s="11" t="s">
        <v>177</v>
      </c>
      <c r="L98" s="11" t="s">
        <v>177</v>
      </c>
      <c r="M98" s="11" t="s">
        <v>177</v>
      </c>
    </row>
    <row r="99" spans="1:13" ht="45" customHeight="1" x14ac:dyDescent="0.25">
      <c r="A99" s="11" t="s">
        <v>188</v>
      </c>
      <c r="B99" s="11" t="s">
        <v>177</v>
      </c>
      <c r="C99" s="11" t="s">
        <v>189</v>
      </c>
      <c r="D99" s="11" t="s">
        <v>87</v>
      </c>
      <c r="E99" s="11" t="s">
        <v>277</v>
      </c>
      <c r="F99" s="11" t="s">
        <v>285</v>
      </c>
      <c r="G99" s="11" t="s">
        <v>279</v>
      </c>
      <c r="H99" s="11" t="s">
        <v>182</v>
      </c>
      <c r="I99" s="11" t="s">
        <v>183</v>
      </c>
      <c r="J99" s="11" t="s">
        <v>184</v>
      </c>
      <c r="K99" s="11" t="s">
        <v>177</v>
      </c>
      <c r="L99" s="11" t="s">
        <v>177</v>
      </c>
      <c r="M99" s="11" t="s">
        <v>177</v>
      </c>
    </row>
    <row r="100" spans="1:13" ht="45" customHeight="1" x14ac:dyDescent="0.25">
      <c r="A100" s="11" t="s">
        <v>200</v>
      </c>
      <c r="B100" s="11" t="s">
        <v>177</v>
      </c>
      <c r="C100" s="11" t="s">
        <v>201</v>
      </c>
      <c r="D100" s="11" t="s">
        <v>87</v>
      </c>
      <c r="E100" s="11" t="s">
        <v>277</v>
      </c>
      <c r="F100" s="11" t="s">
        <v>285</v>
      </c>
      <c r="G100" s="11" t="s">
        <v>279</v>
      </c>
      <c r="H100" s="11" t="s">
        <v>182</v>
      </c>
      <c r="I100" s="11" t="s">
        <v>183</v>
      </c>
      <c r="J100" s="11" t="s">
        <v>184</v>
      </c>
      <c r="K100" s="11" t="s">
        <v>177</v>
      </c>
      <c r="L100" s="11" t="s">
        <v>177</v>
      </c>
      <c r="M100" s="11" t="s">
        <v>177</v>
      </c>
    </row>
    <row r="101" spans="1:13" ht="45" customHeight="1" x14ac:dyDescent="0.25">
      <c r="A101" s="11" t="s">
        <v>185</v>
      </c>
      <c r="B101" s="11" t="s">
        <v>177</v>
      </c>
      <c r="C101" s="11" t="s">
        <v>186</v>
      </c>
      <c r="D101" s="11" t="s">
        <v>87</v>
      </c>
      <c r="E101" s="11" t="s">
        <v>277</v>
      </c>
      <c r="F101" s="11" t="s">
        <v>286</v>
      </c>
      <c r="G101" s="11" t="s">
        <v>279</v>
      </c>
      <c r="H101" s="11" t="s">
        <v>182</v>
      </c>
      <c r="I101" s="11" t="s">
        <v>183</v>
      </c>
      <c r="J101" s="11" t="s">
        <v>184</v>
      </c>
      <c r="K101" s="11" t="s">
        <v>177</v>
      </c>
      <c r="L101" s="11" t="s">
        <v>177</v>
      </c>
      <c r="M101" s="11" t="s">
        <v>177</v>
      </c>
    </row>
    <row r="102" spans="1:13" ht="45" customHeight="1" x14ac:dyDescent="0.25">
      <c r="A102" s="11" t="s">
        <v>176</v>
      </c>
      <c r="B102" s="11" t="s">
        <v>177</v>
      </c>
      <c r="C102" s="11" t="s">
        <v>178</v>
      </c>
      <c r="D102" s="11" t="s">
        <v>87</v>
      </c>
      <c r="E102" s="11" t="s">
        <v>277</v>
      </c>
      <c r="F102" s="11" t="s">
        <v>286</v>
      </c>
      <c r="G102" s="11" t="s">
        <v>279</v>
      </c>
      <c r="H102" s="11" t="s">
        <v>182</v>
      </c>
      <c r="I102" s="11" t="s">
        <v>183</v>
      </c>
      <c r="J102" s="11" t="s">
        <v>184</v>
      </c>
      <c r="K102" s="11" t="s">
        <v>177</v>
      </c>
      <c r="L102" s="11" t="s">
        <v>177</v>
      </c>
      <c r="M102" s="11" t="s">
        <v>177</v>
      </c>
    </row>
    <row r="103" spans="1:13" ht="45" customHeight="1" x14ac:dyDescent="0.25">
      <c r="A103" s="11" t="s">
        <v>194</v>
      </c>
      <c r="B103" s="11" t="s">
        <v>177</v>
      </c>
      <c r="C103" s="11" t="s">
        <v>195</v>
      </c>
      <c r="D103" s="11" t="s">
        <v>87</v>
      </c>
      <c r="E103" s="11" t="s">
        <v>277</v>
      </c>
      <c r="F103" s="11" t="s">
        <v>258</v>
      </c>
      <c r="G103" s="11" t="s">
        <v>279</v>
      </c>
      <c r="H103" s="11" t="s">
        <v>182</v>
      </c>
      <c r="I103" s="11" t="s">
        <v>183</v>
      </c>
      <c r="J103" s="11" t="s">
        <v>184</v>
      </c>
      <c r="K103" s="11" t="s">
        <v>177</v>
      </c>
      <c r="L103" s="11" t="s">
        <v>177</v>
      </c>
      <c r="M103" s="11" t="s">
        <v>177</v>
      </c>
    </row>
    <row r="104" spans="1:13" ht="45" customHeight="1" x14ac:dyDescent="0.25">
      <c r="A104" s="11" t="s">
        <v>176</v>
      </c>
      <c r="B104" s="11" t="s">
        <v>177</v>
      </c>
      <c r="C104" s="11" t="s">
        <v>178</v>
      </c>
      <c r="D104" s="11" t="s">
        <v>87</v>
      </c>
      <c r="E104" s="11" t="s">
        <v>287</v>
      </c>
      <c r="F104" s="11" t="s">
        <v>288</v>
      </c>
      <c r="G104" s="11" t="s">
        <v>181</v>
      </c>
      <c r="H104" s="11" t="s">
        <v>182</v>
      </c>
      <c r="I104" s="11" t="s">
        <v>183</v>
      </c>
      <c r="J104" s="11" t="s">
        <v>184</v>
      </c>
      <c r="K104" s="11" t="s">
        <v>177</v>
      </c>
      <c r="L104" s="11" t="s">
        <v>177</v>
      </c>
      <c r="M104" s="11" t="s">
        <v>177</v>
      </c>
    </row>
    <row r="105" spans="1:13" ht="45" customHeight="1" x14ac:dyDescent="0.25">
      <c r="A105" s="11" t="s">
        <v>188</v>
      </c>
      <c r="B105" s="11" t="s">
        <v>177</v>
      </c>
      <c r="C105" s="11" t="s">
        <v>189</v>
      </c>
      <c r="D105" s="11" t="s">
        <v>87</v>
      </c>
      <c r="E105" s="11" t="s">
        <v>287</v>
      </c>
      <c r="F105" s="11" t="s">
        <v>187</v>
      </c>
      <c r="G105" s="11" t="s">
        <v>181</v>
      </c>
      <c r="H105" s="11" t="s">
        <v>182</v>
      </c>
      <c r="I105" s="11" t="s">
        <v>183</v>
      </c>
      <c r="J105" s="11" t="s">
        <v>184</v>
      </c>
      <c r="K105" s="11" t="s">
        <v>177</v>
      </c>
      <c r="L105" s="11" t="s">
        <v>177</v>
      </c>
      <c r="M105" s="11" t="s">
        <v>177</v>
      </c>
    </row>
    <row r="106" spans="1:13" ht="45" customHeight="1" x14ac:dyDescent="0.25">
      <c r="A106" s="11" t="s">
        <v>200</v>
      </c>
      <c r="B106" s="11" t="s">
        <v>177</v>
      </c>
      <c r="C106" s="11" t="s">
        <v>201</v>
      </c>
      <c r="D106" s="11" t="s">
        <v>87</v>
      </c>
      <c r="E106" s="11" t="s">
        <v>287</v>
      </c>
      <c r="F106" s="11" t="s">
        <v>254</v>
      </c>
      <c r="G106" s="11" t="s">
        <v>181</v>
      </c>
      <c r="H106" s="11" t="s">
        <v>182</v>
      </c>
      <c r="I106" s="11" t="s">
        <v>183</v>
      </c>
      <c r="J106" s="11" t="s">
        <v>184</v>
      </c>
      <c r="K106" s="11" t="s">
        <v>177</v>
      </c>
      <c r="L106" s="11" t="s">
        <v>177</v>
      </c>
      <c r="M106" s="11" t="s">
        <v>177</v>
      </c>
    </row>
    <row r="107" spans="1:13" ht="45" customHeight="1" x14ac:dyDescent="0.25">
      <c r="A107" s="11" t="s">
        <v>191</v>
      </c>
      <c r="B107" s="11" t="s">
        <v>177</v>
      </c>
      <c r="C107" s="11" t="s">
        <v>192</v>
      </c>
      <c r="D107" s="11" t="s">
        <v>87</v>
      </c>
      <c r="E107" s="11" t="s">
        <v>287</v>
      </c>
      <c r="F107" s="11" t="s">
        <v>254</v>
      </c>
      <c r="G107" s="11" t="s">
        <v>181</v>
      </c>
      <c r="H107" s="11" t="s">
        <v>182</v>
      </c>
      <c r="I107" s="11" t="s">
        <v>183</v>
      </c>
      <c r="J107" s="11" t="s">
        <v>184</v>
      </c>
      <c r="K107" s="11" t="s">
        <v>177</v>
      </c>
      <c r="L107" s="11" t="s">
        <v>177</v>
      </c>
      <c r="M107" s="11" t="s">
        <v>177</v>
      </c>
    </row>
    <row r="108" spans="1:13" ht="45" customHeight="1" x14ac:dyDescent="0.25">
      <c r="A108" s="11" t="s">
        <v>197</v>
      </c>
      <c r="B108" s="11" t="s">
        <v>177</v>
      </c>
      <c r="C108" s="11" t="s">
        <v>198</v>
      </c>
      <c r="D108" s="11" t="s">
        <v>87</v>
      </c>
      <c r="E108" s="11" t="s">
        <v>287</v>
      </c>
      <c r="F108" s="11" t="s">
        <v>196</v>
      </c>
      <c r="G108" s="11" t="s">
        <v>181</v>
      </c>
      <c r="H108" s="11" t="s">
        <v>182</v>
      </c>
      <c r="I108" s="11" t="s">
        <v>183</v>
      </c>
      <c r="J108" s="11" t="s">
        <v>184</v>
      </c>
      <c r="K108" s="11" t="s">
        <v>177</v>
      </c>
      <c r="L108" s="11" t="s">
        <v>177</v>
      </c>
      <c r="M108" s="11" t="s">
        <v>177</v>
      </c>
    </row>
    <row r="109" spans="1:13" ht="45" customHeight="1" x14ac:dyDescent="0.25">
      <c r="A109" s="11" t="s">
        <v>194</v>
      </c>
      <c r="B109" s="11" t="s">
        <v>177</v>
      </c>
      <c r="C109" s="11" t="s">
        <v>195</v>
      </c>
      <c r="D109" s="11" t="s">
        <v>87</v>
      </c>
      <c r="E109" s="11" t="s">
        <v>287</v>
      </c>
      <c r="F109" s="11" t="s">
        <v>220</v>
      </c>
      <c r="G109" s="11" t="s">
        <v>181</v>
      </c>
      <c r="H109" s="11" t="s">
        <v>182</v>
      </c>
      <c r="I109" s="11" t="s">
        <v>183</v>
      </c>
      <c r="J109" s="11" t="s">
        <v>184</v>
      </c>
      <c r="K109" s="11" t="s">
        <v>177</v>
      </c>
      <c r="L109" s="11" t="s">
        <v>177</v>
      </c>
      <c r="M109" s="11" t="s">
        <v>177</v>
      </c>
    </row>
    <row r="110" spans="1:13" ht="45" customHeight="1" x14ac:dyDescent="0.25">
      <c r="A110" s="11" t="s">
        <v>185</v>
      </c>
      <c r="B110" s="11" t="s">
        <v>177</v>
      </c>
      <c r="C110" s="11" t="s">
        <v>186</v>
      </c>
      <c r="D110" s="11" t="s">
        <v>87</v>
      </c>
      <c r="E110" s="11" t="s">
        <v>287</v>
      </c>
      <c r="F110" s="11" t="s">
        <v>236</v>
      </c>
      <c r="G110" s="11" t="s">
        <v>181</v>
      </c>
      <c r="H110" s="11" t="s">
        <v>182</v>
      </c>
      <c r="I110" s="11" t="s">
        <v>183</v>
      </c>
      <c r="J110" s="11" t="s">
        <v>184</v>
      </c>
      <c r="K110" s="11" t="s">
        <v>177</v>
      </c>
      <c r="L110" s="11" t="s">
        <v>177</v>
      </c>
      <c r="M110" s="11" t="s">
        <v>177</v>
      </c>
    </row>
    <row r="111" spans="1:13" ht="45" customHeight="1" x14ac:dyDescent="0.25">
      <c r="A111" s="11" t="s">
        <v>197</v>
      </c>
      <c r="B111" s="11" t="s">
        <v>177</v>
      </c>
      <c r="C111" s="11" t="s">
        <v>198</v>
      </c>
      <c r="D111" s="11" t="s">
        <v>87</v>
      </c>
      <c r="E111" s="11" t="s">
        <v>287</v>
      </c>
      <c r="F111" s="11" t="s">
        <v>283</v>
      </c>
      <c r="G111" s="11" t="s">
        <v>181</v>
      </c>
      <c r="H111" s="11" t="s">
        <v>182</v>
      </c>
      <c r="I111" s="11" t="s">
        <v>183</v>
      </c>
      <c r="J111" s="11" t="s">
        <v>184</v>
      </c>
      <c r="K111" s="11" t="s">
        <v>177</v>
      </c>
      <c r="L111" s="11" t="s">
        <v>177</v>
      </c>
      <c r="M111" s="11" t="s">
        <v>177</v>
      </c>
    </row>
    <row r="112" spans="1:13" ht="45" customHeight="1" x14ac:dyDescent="0.25">
      <c r="A112" s="11" t="s">
        <v>194</v>
      </c>
      <c r="B112" s="11" t="s">
        <v>177</v>
      </c>
      <c r="C112" s="11" t="s">
        <v>195</v>
      </c>
      <c r="D112" s="11" t="s">
        <v>87</v>
      </c>
      <c r="E112" s="11" t="s">
        <v>287</v>
      </c>
      <c r="F112" s="11" t="s">
        <v>223</v>
      </c>
      <c r="G112" s="11" t="s">
        <v>181</v>
      </c>
      <c r="H112" s="11" t="s">
        <v>182</v>
      </c>
      <c r="I112" s="11" t="s">
        <v>183</v>
      </c>
      <c r="J112" s="11" t="s">
        <v>184</v>
      </c>
      <c r="K112" s="11" t="s">
        <v>177</v>
      </c>
      <c r="L112" s="11" t="s">
        <v>177</v>
      </c>
      <c r="M112" s="11" t="s">
        <v>177</v>
      </c>
    </row>
    <row r="113" spans="1:13" ht="45" customHeight="1" x14ac:dyDescent="0.25">
      <c r="A113" s="11" t="s">
        <v>191</v>
      </c>
      <c r="B113" s="11" t="s">
        <v>177</v>
      </c>
      <c r="C113" s="11" t="s">
        <v>192</v>
      </c>
      <c r="D113" s="11" t="s">
        <v>87</v>
      </c>
      <c r="E113" s="11" t="s">
        <v>287</v>
      </c>
      <c r="F113" s="11" t="s">
        <v>289</v>
      </c>
      <c r="G113" s="11" t="s">
        <v>181</v>
      </c>
      <c r="H113" s="11" t="s">
        <v>182</v>
      </c>
      <c r="I113" s="11" t="s">
        <v>183</v>
      </c>
      <c r="J113" s="11" t="s">
        <v>184</v>
      </c>
      <c r="K113" s="11" t="s">
        <v>177</v>
      </c>
      <c r="L113" s="11" t="s">
        <v>177</v>
      </c>
      <c r="M113" s="11" t="s">
        <v>177</v>
      </c>
    </row>
    <row r="114" spans="1:13" ht="45" customHeight="1" x14ac:dyDescent="0.25">
      <c r="A114" s="11" t="s">
        <v>194</v>
      </c>
      <c r="B114" s="11" t="s">
        <v>177</v>
      </c>
      <c r="C114" s="11" t="s">
        <v>195</v>
      </c>
      <c r="D114" s="11" t="s">
        <v>87</v>
      </c>
      <c r="E114" s="11" t="s">
        <v>287</v>
      </c>
      <c r="F114" s="11" t="s">
        <v>290</v>
      </c>
      <c r="G114" s="11" t="s">
        <v>181</v>
      </c>
      <c r="H114" s="11" t="s">
        <v>182</v>
      </c>
      <c r="I114" s="11" t="s">
        <v>183</v>
      </c>
      <c r="J114" s="11" t="s">
        <v>184</v>
      </c>
      <c r="K114" s="11" t="s">
        <v>177</v>
      </c>
      <c r="L114" s="11" t="s">
        <v>177</v>
      </c>
      <c r="M114" s="11" t="s">
        <v>177</v>
      </c>
    </row>
    <row r="115" spans="1:13" ht="45" customHeight="1" x14ac:dyDescent="0.25">
      <c r="A115" s="11" t="s">
        <v>197</v>
      </c>
      <c r="B115" s="11" t="s">
        <v>177</v>
      </c>
      <c r="C115" s="11" t="s">
        <v>198</v>
      </c>
      <c r="D115" s="11" t="s">
        <v>87</v>
      </c>
      <c r="E115" s="11" t="s">
        <v>287</v>
      </c>
      <c r="F115" s="11" t="s">
        <v>291</v>
      </c>
      <c r="G115" s="11" t="s">
        <v>181</v>
      </c>
      <c r="H115" s="11" t="s">
        <v>182</v>
      </c>
      <c r="I115" s="11" t="s">
        <v>183</v>
      </c>
      <c r="J115" s="11" t="s">
        <v>184</v>
      </c>
      <c r="K115" s="11" t="s">
        <v>177</v>
      </c>
      <c r="L115" s="11" t="s">
        <v>177</v>
      </c>
      <c r="M115" s="11" t="s">
        <v>177</v>
      </c>
    </row>
    <row r="116" spans="1:13" ht="45" customHeight="1" x14ac:dyDescent="0.25">
      <c r="A116" s="11" t="s">
        <v>176</v>
      </c>
      <c r="B116" s="11" t="s">
        <v>177</v>
      </c>
      <c r="C116" s="11" t="s">
        <v>178</v>
      </c>
      <c r="D116" s="11" t="s">
        <v>87</v>
      </c>
      <c r="E116" s="11" t="s">
        <v>287</v>
      </c>
      <c r="F116" s="11" t="s">
        <v>226</v>
      </c>
      <c r="G116" s="11" t="s">
        <v>181</v>
      </c>
      <c r="H116" s="11" t="s">
        <v>182</v>
      </c>
      <c r="I116" s="11" t="s">
        <v>183</v>
      </c>
      <c r="J116" s="11" t="s">
        <v>184</v>
      </c>
      <c r="K116" s="11" t="s">
        <v>177</v>
      </c>
      <c r="L116" s="11" t="s">
        <v>177</v>
      </c>
      <c r="M116" s="11" t="s">
        <v>177</v>
      </c>
    </row>
    <row r="117" spans="1:13" ht="45" customHeight="1" x14ac:dyDescent="0.25">
      <c r="A117" s="11" t="s">
        <v>188</v>
      </c>
      <c r="B117" s="11" t="s">
        <v>177</v>
      </c>
      <c r="C117" s="11" t="s">
        <v>189</v>
      </c>
      <c r="D117" s="11" t="s">
        <v>87</v>
      </c>
      <c r="E117" s="11" t="s">
        <v>287</v>
      </c>
      <c r="F117" s="11" t="s">
        <v>292</v>
      </c>
      <c r="G117" s="11" t="s">
        <v>181</v>
      </c>
      <c r="H117" s="11" t="s">
        <v>182</v>
      </c>
      <c r="I117" s="11" t="s">
        <v>183</v>
      </c>
      <c r="J117" s="11" t="s">
        <v>184</v>
      </c>
      <c r="K117" s="11" t="s">
        <v>177</v>
      </c>
      <c r="L117" s="11" t="s">
        <v>177</v>
      </c>
      <c r="M117" s="11" t="s">
        <v>177</v>
      </c>
    </row>
    <row r="118" spans="1:13" ht="45" customHeight="1" x14ac:dyDescent="0.25">
      <c r="A118" s="11" t="s">
        <v>194</v>
      </c>
      <c r="B118" s="11" t="s">
        <v>177</v>
      </c>
      <c r="C118" s="11" t="s">
        <v>195</v>
      </c>
      <c r="D118" s="11" t="s">
        <v>87</v>
      </c>
      <c r="E118" s="11" t="s">
        <v>287</v>
      </c>
      <c r="F118" s="11" t="s">
        <v>275</v>
      </c>
      <c r="G118" s="11" t="s">
        <v>181</v>
      </c>
      <c r="H118" s="11" t="s">
        <v>182</v>
      </c>
      <c r="I118" s="11" t="s">
        <v>183</v>
      </c>
      <c r="J118" s="11" t="s">
        <v>184</v>
      </c>
      <c r="K118" s="11" t="s">
        <v>177</v>
      </c>
      <c r="L118" s="11" t="s">
        <v>177</v>
      </c>
      <c r="M118" s="11" t="s">
        <v>177</v>
      </c>
    </row>
    <row r="119" spans="1:13" ht="45" customHeight="1" x14ac:dyDescent="0.25">
      <c r="A119" s="11" t="s">
        <v>176</v>
      </c>
      <c r="B119" s="11" t="s">
        <v>177</v>
      </c>
      <c r="C119" s="11" t="s">
        <v>178</v>
      </c>
      <c r="D119" s="11" t="s">
        <v>87</v>
      </c>
      <c r="E119" s="11" t="s">
        <v>293</v>
      </c>
      <c r="F119" s="11" t="s">
        <v>278</v>
      </c>
      <c r="G119" s="11" t="s">
        <v>212</v>
      </c>
      <c r="H119" s="11" t="s">
        <v>182</v>
      </c>
      <c r="I119" s="11" t="s">
        <v>183</v>
      </c>
      <c r="J119" s="11" t="s">
        <v>184</v>
      </c>
      <c r="K119" s="11" t="s">
        <v>177</v>
      </c>
      <c r="L119" s="11" t="s">
        <v>177</v>
      </c>
      <c r="M119" s="11" t="s">
        <v>177</v>
      </c>
    </row>
    <row r="120" spans="1:13" ht="45" customHeight="1" x14ac:dyDescent="0.25">
      <c r="A120" s="11" t="s">
        <v>188</v>
      </c>
      <c r="B120" s="11" t="s">
        <v>177</v>
      </c>
      <c r="C120" s="11" t="s">
        <v>189</v>
      </c>
      <c r="D120" s="11" t="s">
        <v>87</v>
      </c>
      <c r="E120" s="11" t="s">
        <v>293</v>
      </c>
      <c r="F120" s="11" t="s">
        <v>187</v>
      </c>
      <c r="G120" s="11" t="s">
        <v>212</v>
      </c>
      <c r="H120" s="11" t="s">
        <v>182</v>
      </c>
      <c r="I120" s="11" t="s">
        <v>183</v>
      </c>
      <c r="J120" s="11" t="s">
        <v>184</v>
      </c>
      <c r="K120" s="11" t="s">
        <v>177</v>
      </c>
      <c r="L120" s="11" t="s">
        <v>177</v>
      </c>
      <c r="M120" s="11" t="s">
        <v>177</v>
      </c>
    </row>
    <row r="121" spans="1:13" ht="45" customHeight="1" x14ac:dyDescent="0.25">
      <c r="A121" s="11" t="s">
        <v>185</v>
      </c>
      <c r="B121" s="11" t="s">
        <v>177</v>
      </c>
      <c r="C121" s="11" t="s">
        <v>186</v>
      </c>
      <c r="D121" s="11" t="s">
        <v>87</v>
      </c>
      <c r="E121" s="11" t="s">
        <v>293</v>
      </c>
      <c r="F121" s="11" t="s">
        <v>190</v>
      </c>
      <c r="G121" s="11" t="s">
        <v>212</v>
      </c>
      <c r="H121" s="11" t="s">
        <v>182</v>
      </c>
      <c r="I121" s="11" t="s">
        <v>183</v>
      </c>
      <c r="J121" s="11" t="s">
        <v>184</v>
      </c>
      <c r="K121" s="11" t="s">
        <v>177</v>
      </c>
      <c r="L121" s="11" t="s">
        <v>177</v>
      </c>
      <c r="M121" s="11" t="s">
        <v>177</v>
      </c>
    </row>
    <row r="122" spans="1:13" ht="45" customHeight="1" x14ac:dyDescent="0.25">
      <c r="A122" s="11" t="s">
        <v>200</v>
      </c>
      <c r="B122" s="11" t="s">
        <v>177</v>
      </c>
      <c r="C122" s="11" t="s">
        <v>201</v>
      </c>
      <c r="D122" s="11" t="s">
        <v>87</v>
      </c>
      <c r="E122" s="11" t="s">
        <v>293</v>
      </c>
      <c r="F122" s="11" t="s">
        <v>294</v>
      </c>
      <c r="G122" s="11" t="s">
        <v>212</v>
      </c>
      <c r="H122" s="11" t="s">
        <v>182</v>
      </c>
      <c r="I122" s="11" t="s">
        <v>183</v>
      </c>
      <c r="J122" s="11" t="s">
        <v>184</v>
      </c>
      <c r="K122" s="11" t="s">
        <v>177</v>
      </c>
      <c r="L122" s="11" t="s">
        <v>177</v>
      </c>
      <c r="M122" s="11" t="s">
        <v>177</v>
      </c>
    </row>
    <row r="123" spans="1:13" ht="45" customHeight="1" x14ac:dyDescent="0.25">
      <c r="A123" s="11" t="s">
        <v>217</v>
      </c>
      <c r="B123" s="11" t="s">
        <v>177</v>
      </c>
      <c r="C123" s="11" t="s">
        <v>218</v>
      </c>
      <c r="D123" s="11" t="s">
        <v>87</v>
      </c>
      <c r="E123" s="11" t="s">
        <v>293</v>
      </c>
      <c r="F123" s="11" t="s">
        <v>294</v>
      </c>
      <c r="G123" s="11" t="s">
        <v>212</v>
      </c>
      <c r="H123" s="11" t="s">
        <v>182</v>
      </c>
      <c r="I123" s="11" t="s">
        <v>183</v>
      </c>
      <c r="J123" s="11" t="s">
        <v>184</v>
      </c>
      <c r="K123" s="11" t="s">
        <v>177</v>
      </c>
      <c r="L123" s="11" t="s">
        <v>177</v>
      </c>
      <c r="M123" s="11" t="s">
        <v>177</v>
      </c>
    </row>
    <row r="124" spans="1:13" ht="45" customHeight="1" x14ac:dyDescent="0.25">
      <c r="A124" s="11" t="s">
        <v>194</v>
      </c>
      <c r="B124" s="11" t="s">
        <v>177</v>
      </c>
      <c r="C124" s="11" t="s">
        <v>195</v>
      </c>
      <c r="D124" s="11" t="s">
        <v>87</v>
      </c>
      <c r="E124" s="11" t="s">
        <v>293</v>
      </c>
      <c r="F124" s="11" t="s">
        <v>196</v>
      </c>
      <c r="G124" s="11" t="s">
        <v>212</v>
      </c>
      <c r="H124" s="11" t="s">
        <v>182</v>
      </c>
      <c r="I124" s="11" t="s">
        <v>183</v>
      </c>
      <c r="J124" s="11" t="s">
        <v>184</v>
      </c>
      <c r="K124" s="11" t="s">
        <v>177</v>
      </c>
      <c r="L124" s="11" t="s">
        <v>177</v>
      </c>
      <c r="M124" s="11" t="s">
        <v>177</v>
      </c>
    </row>
    <row r="125" spans="1:13" ht="45" customHeight="1" x14ac:dyDescent="0.25">
      <c r="A125" s="11" t="s">
        <v>197</v>
      </c>
      <c r="B125" s="11" t="s">
        <v>177</v>
      </c>
      <c r="C125" s="11" t="s">
        <v>198</v>
      </c>
      <c r="D125" s="11" t="s">
        <v>87</v>
      </c>
      <c r="E125" s="11" t="s">
        <v>293</v>
      </c>
      <c r="F125" s="11" t="s">
        <v>196</v>
      </c>
      <c r="G125" s="11" t="s">
        <v>212</v>
      </c>
      <c r="H125" s="11" t="s">
        <v>182</v>
      </c>
      <c r="I125" s="11" t="s">
        <v>183</v>
      </c>
      <c r="J125" s="11" t="s">
        <v>184</v>
      </c>
      <c r="K125" s="11" t="s">
        <v>177</v>
      </c>
      <c r="L125" s="11" t="s">
        <v>177</v>
      </c>
      <c r="M125" s="11" t="s">
        <v>177</v>
      </c>
    </row>
    <row r="126" spans="1:13" ht="45" customHeight="1" x14ac:dyDescent="0.25">
      <c r="A126" s="11" t="s">
        <v>194</v>
      </c>
      <c r="B126" s="11" t="s">
        <v>177</v>
      </c>
      <c r="C126" s="11" t="s">
        <v>195</v>
      </c>
      <c r="D126" s="11" t="s">
        <v>87</v>
      </c>
      <c r="E126" s="11" t="s">
        <v>293</v>
      </c>
      <c r="F126" s="11" t="s">
        <v>295</v>
      </c>
      <c r="G126" s="11" t="s">
        <v>212</v>
      </c>
      <c r="H126" s="11" t="s">
        <v>182</v>
      </c>
      <c r="I126" s="11" t="s">
        <v>183</v>
      </c>
      <c r="J126" s="11" t="s">
        <v>184</v>
      </c>
      <c r="K126" s="11" t="s">
        <v>177</v>
      </c>
      <c r="L126" s="11" t="s">
        <v>177</v>
      </c>
      <c r="M126" s="11" t="s">
        <v>177</v>
      </c>
    </row>
    <row r="127" spans="1:13" ht="45" customHeight="1" x14ac:dyDescent="0.25">
      <c r="A127" s="11" t="s">
        <v>197</v>
      </c>
      <c r="B127" s="11" t="s">
        <v>177</v>
      </c>
      <c r="C127" s="11" t="s">
        <v>198</v>
      </c>
      <c r="D127" s="11" t="s">
        <v>87</v>
      </c>
      <c r="E127" s="11" t="s">
        <v>293</v>
      </c>
      <c r="F127" s="11" t="s">
        <v>295</v>
      </c>
      <c r="G127" s="11" t="s">
        <v>212</v>
      </c>
      <c r="H127" s="11" t="s">
        <v>182</v>
      </c>
      <c r="I127" s="11" t="s">
        <v>183</v>
      </c>
      <c r="J127" s="11" t="s">
        <v>184</v>
      </c>
      <c r="K127" s="11" t="s">
        <v>177</v>
      </c>
      <c r="L127" s="11" t="s">
        <v>177</v>
      </c>
      <c r="M127" s="11" t="s">
        <v>177</v>
      </c>
    </row>
    <row r="128" spans="1:13" ht="45" customHeight="1" x14ac:dyDescent="0.25">
      <c r="A128" s="11" t="s">
        <v>191</v>
      </c>
      <c r="B128" s="11" t="s">
        <v>177</v>
      </c>
      <c r="C128" s="11" t="s">
        <v>192</v>
      </c>
      <c r="D128" s="11" t="s">
        <v>87</v>
      </c>
      <c r="E128" s="11" t="s">
        <v>293</v>
      </c>
      <c r="F128" s="11" t="s">
        <v>296</v>
      </c>
      <c r="G128" s="11" t="s">
        <v>212</v>
      </c>
      <c r="H128" s="11" t="s">
        <v>182</v>
      </c>
      <c r="I128" s="11" t="s">
        <v>183</v>
      </c>
      <c r="J128" s="11" t="s">
        <v>184</v>
      </c>
      <c r="K128" s="11" t="s">
        <v>177</v>
      </c>
      <c r="L128" s="11" t="s">
        <v>177</v>
      </c>
      <c r="M128" s="11" t="s">
        <v>177</v>
      </c>
    </row>
    <row r="129" spans="1:13" ht="45" customHeight="1" x14ac:dyDescent="0.25">
      <c r="A129" s="11" t="s">
        <v>200</v>
      </c>
      <c r="B129" s="11" t="s">
        <v>177</v>
      </c>
      <c r="C129" s="11" t="s">
        <v>201</v>
      </c>
      <c r="D129" s="11" t="s">
        <v>87</v>
      </c>
      <c r="E129" s="11" t="s">
        <v>293</v>
      </c>
      <c r="F129" s="11" t="s">
        <v>297</v>
      </c>
      <c r="G129" s="11" t="s">
        <v>212</v>
      </c>
      <c r="H129" s="11" t="s">
        <v>182</v>
      </c>
      <c r="I129" s="11" t="s">
        <v>183</v>
      </c>
      <c r="J129" s="11" t="s">
        <v>184</v>
      </c>
      <c r="K129" s="11" t="s">
        <v>177</v>
      </c>
      <c r="L129" s="11" t="s">
        <v>177</v>
      </c>
      <c r="M129" s="11" t="s">
        <v>177</v>
      </c>
    </row>
    <row r="130" spans="1:13" ht="45" customHeight="1" x14ac:dyDescent="0.25">
      <c r="A130" s="11" t="s">
        <v>185</v>
      </c>
      <c r="B130" s="11" t="s">
        <v>177</v>
      </c>
      <c r="C130" s="11" t="s">
        <v>186</v>
      </c>
      <c r="D130" s="11" t="s">
        <v>87</v>
      </c>
      <c r="E130" s="11" t="s">
        <v>293</v>
      </c>
      <c r="F130" s="11" t="s">
        <v>298</v>
      </c>
      <c r="G130" s="11" t="s">
        <v>212</v>
      </c>
      <c r="H130" s="11" t="s">
        <v>182</v>
      </c>
      <c r="I130" s="11" t="s">
        <v>183</v>
      </c>
      <c r="J130" s="11" t="s">
        <v>184</v>
      </c>
      <c r="K130" s="11" t="s">
        <v>177</v>
      </c>
      <c r="L130" s="11" t="s">
        <v>177</v>
      </c>
      <c r="M130" s="11" t="s">
        <v>177</v>
      </c>
    </row>
    <row r="131" spans="1:13" ht="45" customHeight="1" x14ac:dyDescent="0.25">
      <c r="A131" s="11" t="s">
        <v>217</v>
      </c>
      <c r="B131" s="11" t="s">
        <v>177</v>
      </c>
      <c r="C131" s="11" t="s">
        <v>218</v>
      </c>
      <c r="D131" s="11" t="s">
        <v>87</v>
      </c>
      <c r="E131" s="11" t="s">
        <v>293</v>
      </c>
      <c r="F131" s="11" t="s">
        <v>286</v>
      </c>
      <c r="G131" s="11" t="s">
        <v>212</v>
      </c>
      <c r="H131" s="11" t="s">
        <v>182</v>
      </c>
      <c r="I131" s="11" t="s">
        <v>183</v>
      </c>
      <c r="J131" s="11" t="s">
        <v>184</v>
      </c>
      <c r="K131" s="11" t="s">
        <v>177</v>
      </c>
      <c r="L131" s="11" t="s">
        <v>177</v>
      </c>
      <c r="M131" s="11" t="s">
        <v>177</v>
      </c>
    </row>
    <row r="132" spans="1:13" ht="45" customHeight="1" x14ac:dyDescent="0.25">
      <c r="A132" s="11" t="s">
        <v>176</v>
      </c>
      <c r="B132" s="11" t="s">
        <v>177</v>
      </c>
      <c r="C132" s="11" t="s">
        <v>178</v>
      </c>
      <c r="D132" s="11" t="s">
        <v>87</v>
      </c>
      <c r="E132" s="11" t="s">
        <v>293</v>
      </c>
      <c r="F132" s="11" t="s">
        <v>206</v>
      </c>
      <c r="G132" s="11" t="s">
        <v>212</v>
      </c>
      <c r="H132" s="11" t="s">
        <v>182</v>
      </c>
      <c r="I132" s="11" t="s">
        <v>183</v>
      </c>
      <c r="J132" s="11" t="s">
        <v>184</v>
      </c>
      <c r="K132" s="11" t="s">
        <v>177</v>
      </c>
      <c r="L132" s="11" t="s">
        <v>177</v>
      </c>
      <c r="M132" s="11" t="s">
        <v>177</v>
      </c>
    </row>
    <row r="133" spans="1:13" ht="45" customHeight="1" x14ac:dyDescent="0.25">
      <c r="A133" s="11" t="s">
        <v>191</v>
      </c>
      <c r="B133" s="11" t="s">
        <v>177</v>
      </c>
      <c r="C133" s="11" t="s">
        <v>192</v>
      </c>
      <c r="D133" s="11" t="s">
        <v>87</v>
      </c>
      <c r="E133" s="11" t="s">
        <v>293</v>
      </c>
      <c r="F133" s="11" t="s">
        <v>299</v>
      </c>
      <c r="G133" s="11" t="s">
        <v>212</v>
      </c>
      <c r="H133" s="11" t="s">
        <v>182</v>
      </c>
      <c r="I133" s="11" t="s">
        <v>183</v>
      </c>
      <c r="J133" s="11" t="s">
        <v>184</v>
      </c>
      <c r="K133" s="11" t="s">
        <v>177</v>
      </c>
      <c r="L133" s="11" t="s">
        <v>177</v>
      </c>
      <c r="M133" s="11" t="s">
        <v>177</v>
      </c>
    </row>
    <row r="134" spans="1:13" ht="45" customHeight="1" x14ac:dyDescent="0.25">
      <c r="A134" s="11" t="s">
        <v>188</v>
      </c>
      <c r="B134" s="11" t="s">
        <v>177</v>
      </c>
      <c r="C134" s="11" t="s">
        <v>189</v>
      </c>
      <c r="D134" s="11" t="s">
        <v>87</v>
      </c>
      <c r="E134" s="11" t="s">
        <v>293</v>
      </c>
      <c r="F134" s="11" t="s">
        <v>300</v>
      </c>
      <c r="G134" s="11" t="s">
        <v>212</v>
      </c>
      <c r="H134" s="11" t="s">
        <v>182</v>
      </c>
      <c r="I134" s="11" t="s">
        <v>183</v>
      </c>
      <c r="J134" s="11" t="s">
        <v>184</v>
      </c>
      <c r="K134" s="11" t="s">
        <v>177</v>
      </c>
      <c r="L134" s="11" t="s">
        <v>177</v>
      </c>
      <c r="M134" s="11" t="s">
        <v>177</v>
      </c>
    </row>
    <row r="135" spans="1:13" ht="45" customHeight="1" x14ac:dyDescent="0.25">
      <c r="A135" s="11" t="s">
        <v>194</v>
      </c>
      <c r="B135" s="11" t="s">
        <v>177</v>
      </c>
      <c r="C135" s="11" t="s">
        <v>195</v>
      </c>
      <c r="D135" s="11" t="s">
        <v>87</v>
      </c>
      <c r="E135" s="11" t="s">
        <v>293</v>
      </c>
      <c r="F135" s="11" t="s">
        <v>246</v>
      </c>
      <c r="G135" s="11" t="s">
        <v>212</v>
      </c>
      <c r="H135" s="11" t="s">
        <v>182</v>
      </c>
      <c r="I135" s="11" t="s">
        <v>183</v>
      </c>
      <c r="J135" s="11" t="s">
        <v>184</v>
      </c>
      <c r="K135" s="11" t="s">
        <v>177</v>
      </c>
      <c r="L135" s="11" t="s">
        <v>177</v>
      </c>
      <c r="M135" s="11" t="s">
        <v>177</v>
      </c>
    </row>
    <row r="136" spans="1:13" ht="45" customHeight="1" x14ac:dyDescent="0.25">
      <c r="A136" s="11" t="s">
        <v>176</v>
      </c>
      <c r="B136" s="11" t="s">
        <v>177</v>
      </c>
      <c r="C136" s="11" t="s">
        <v>178</v>
      </c>
      <c r="D136" s="11" t="s">
        <v>87</v>
      </c>
      <c r="E136" s="11" t="s">
        <v>301</v>
      </c>
      <c r="F136" s="11" t="s">
        <v>233</v>
      </c>
      <c r="G136" s="11" t="s">
        <v>234</v>
      </c>
      <c r="H136" s="11" t="s">
        <v>182</v>
      </c>
      <c r="I136" s="11" t="s">
        <v>183</v>
      </c>
      <c r="J136" s="11" t="s">
        <v>184</v>
      </c>
      <c r="K136" s="11" t="s">
        <v>177</v>
      </c>
      <c r="L136" s="11" t="s">
        <v>177</v>
      </c>
      <c r="M136" s="11" t="s">
        <v>177</v>
      </c>
    </row>
    <row r="137" spans="1:13" ht="45" customHeight="1" x14ac:dyDescent="0.25">
      <c r="A137" s="11" t="s">
        <v>188</v>
      </c>
      <c r="B137" s="11" t="s">
        <v>177</v>
      </c>
      <c r="C137" s="11" t="s">
        <v>189</v>
      </c>
      <c r="D137" s="11" t="s">
        <v>87</v>
      </c>
      <c r="E137" s="11" t="s">
        <v>301</v>
      </c>
      <c r="F137" s="11" t="s">
        <v>302</v>
      </c>
      <c r="G137" s="11" t="s">
        <v>234</v>
      </c>
      <c r="H137" s="11" t="s">
        <v>182</v>
      </c>
      <c r="I137" s="11" t="s">
        <v>183</v>
      </c>
      <c r="J137" s="11" t="s">
        <v>184</v>
      </c>
      <c r="K137" s="11" t="s">
        <v>177</v>
      </c>
      <c r="L137" s="11" t="s">
        <v>177</v>
      </c>
      <c r="M137" s="11" t="s">
        <v>177</v>
      </c>
    </row>
    <row r="138" spans="1:13" ht="45" customHeight="1" x14ac:dyDescent="0.25">
      <c r="A138" s="11" t="s">
        <v>191</v>
      </c>
      <c r="B138" s="11" t="s">
        <v>177</v>
      </c>
      <c r="C138" s="11" t="s">
        <v>192</v>
      </c>
      <c r="D138" s="11" t="s">
        <v>87</v>
      </c>
      <c r="E138" s="11" t="s">
        <v>301</v>
      </c>
      <c r="F138" s="11" t="s">
        <v>190</v>
      </c>
      <c r="G138" s="11" t="s">
        <v>234</v>
      </c>
      <c r="H138" s="11" t="s">
        <v>182</v>
      </c>
      <c r="I138" s="11" t="s">
        <v>183</v>
      </c>
      <c r="J138" s="11" t="s">
        <v>184</v>
      </c>
      <c r="K138" s="11" t="s">
        <v>177</v>
      </c>
      <c r="L138" s="11" t="s">
        <v>177</v>
      </c>
      <c r="M138" s="11" t="s">
        <v>177</v>
      </c>
    </row>
    <row r="139" spans="1:13" ht="45" customHeight="1" x14ac:dyDescent="0.25">
      <c r="A139" s="11" t="s">
        <v>185</v>
      </c>
      <c r="B139" s="11" t="s">
        <v>177</v>
      </c>
      <c r="C139" s="11" t="s">
        <v>186</v>
      </c>
      <c r="D139" s="11" t="s">
        <v>87</v>
      </c>
      <c r="E139" s="11" t="s">
        <v>301</v>
      </c>
      <c r="F139" s="11" t="s">
        <v>303</v>
      </c>
      <c r="G139" s="11" t="s">
        <v>234</v>
      </c>
      <c r="H139" s="11" t="s">
        <v>182</v>
      </c>
      <c r="I139" s="11" t="s">
        <v>183</v>
      </c>
      <c r="J139" s="11" t="s">
        <v>184</v>
      </c>
      <c r="K139" s="11" t="s">
        <v>177</v>
      </c>
      <c r="L139" s="11" t="s">
        <v>177</v>
      </c>
      <c r="M139" s="11" t="s">
        <v>177</v>
      </c>
    </row>
    <row r="140" spans="1:13" ht="45" customHeight="1" x14ac:dyDescent="0.25">
      <c r="A140" s="11" t="s">
        <v>200</v>
      </c>
      <c r="B140" s="11" t="s">
        <v>177</v>
      </c>
      <c r="C140" s="11" t="s">
        <v>201</v>
      </c>
      <c r="D140" s="11" t="s">
        <v>87</v>
      </c>
      <c r="E140" s="11" t="s">
        <v>301</v>
      </c>
      <c r="F140" s="11" t="s">
        <v>193</v>
      </c>
      <c r="G140" s="11" t="s">
        <v>234</v>
      </c>
      <c r="H140" s="11" t="s">
        <v>182</v>
      </c>
      <c r="I140" s="11" t="s">
        <v>183</v>
      </c>
      <c r="J140" s="11" t="s">
        <v>184</v>
      </c>
      <c r="K140" s="11" t="s">
        <v>177</v>
      </c>
      <c r="L140" s="11" t="s">
        <v>177</v>
      </c>
      <c r="M140" s="11" t="s">
        <v>177</v>
      </c>
    </row>
    <row r="141" spans="1:13" ht="45" customHeight="1" x14ac:dyDescent="0.25">
      <c r="A141" s="11" t="s">
        <v>217</v>
      </c>
      <c r="B141" s="11" t="s">
        <v>177</v>
      </c>
      <c r="C141" s="11" t="s">
        <v>218</v>
      </c>
      <c r="D141" s="11" t="s">
        <v>87</v>
      </c>
      <c r="E141" s="11" t="s">
        <v>301</v>
      </c>
      <c r="F141" s="11" t="s">
        <v>193</v>
      </c>
      <c r="G141" s="11" t="s">
        <v>234</v>
      </c>
      <c r="H141" s="11" t="s">
        <v>182</v>
      </c>
      <c r="I141" s="11" t="s">
        <v>183</v>
      </c>
      <c r="J141" s="11" t="s">
        <v>184</v>
      </c>
      <c r="K141" s="11" t="s">
        <v>177</v>
      </c>
      <c r="L141" s="11" t="s">
        <v>177</v>
      </c>
      <c r="M141" s="11" t="s">
        <v>177</v>
      </c>
    </row>
    <row r="142" spans="1:13" ht="45" customHeight="1" x14ac:dyDescent="0.25">
      <c r="A142" s="11" t="s">
        <v>194</v>
      </c>
      <c r="B142" s="11" t="s">
        <v>177</v>
      </c>
      <c r="C142" s="11" t="s">
        <v>195</v>
      </c>
      <c r="D142" s="11" t="s">
        <v>87</v>
      </c>
      <c r="E142" s="11" t="s">
        <v>301</v>
      </c>
      <c r="F142" s="11" t="s">
        <v>220</v>
      </c>
      <c r="G142" s="11" t="s">
        <v>234</v>
      </c>
      <c r="H142" s="11" t="s">
        <v>182</v>
      </c>
      <c r="I142" s="11" t="s">
        <v>183</v>
      </c>
      <c r="J142" s="11" t="s">
        <v>184</v>
      </c>
      <c r="K142" s="11" t="s">
        <v>177</v>
      </c>
      <c r="L142" s="11" t="s">
        <v>177</v>
      </c>
      <c r="M142" s="11" t="s">
        <v>177</v>
      </c>
    </row>
    <row r="143" spans="1:13" ht="45" customHeight="1" x14ac:dyDescent="0.25">
      <c r="A143" s="11" t="s">
        <v>197</v>
      </c>
      <c r="B143" s="11" t="s">
        <v>177</v>
      </c>
      <c r="C143" s="11" t="s">
        <v>198</v>
      </c>
      <c r="D143" s="11" t="s">
        <v>87</v>
      </c>
      <c r="E143" s="11" t="s">
        <v>301</v>
      </c>
      <c r="F143" s="11" t="s">
        <v>237</v>
      </c>
      <c r="G143" s="11" t="s">
        <v>234</v>
      </c>
      <c r="H143" s="11" t="s">
        <v>182</v>
      </c>
      <c r="I143" s="11" t="s">
        <v>183</v>
      </c>
      <c r="J143" s="11" t="s">
        <v>184</v>
      </c>
      <c r="K143" s="11" t="s">
        <v>177</v>
      </c>
      <c r="L143" s="11" t="s">
        <v>177</v>
      </c>
      <c r="M143" s="11" t="s">
        <v>177</v>
      </c>
    </row>
    <row r="144" spans="1:13" ht="45" customHeight="1" x14ac:dyDescent="0.25">
      <c r="A144" s="11" t="s">
        <v>194</v>
      </c>
      <c r="B144" s="11" t="s">
        <v>177</v>
      </c>
      <c r="C144" s="11" t="s">
        <v>195</v>
      </c>
      <c r="D144" s="11" t="s">
        <v>87</v>
      </c>
      <c r="E144" s="11" t="s">
        <v>301</v>
      </c>
      <c r="F144" s="11" t="s">
        <v>304</v>
      </c>
      <c r="G144" s="11" t="s">
        <v>234</v>
      </c>
      <c r="H144" s="11" t="s">
        <v>182</v>
      </c>
      <c r="I144" s="11" t="s">
        <v>183</v>
      </c>
      <c r="J144" s="11" t="s">
        <v>184</v>
      </c>
      <c r="K144" s="11" t="s">
        <v>177</v>
      </c>
      <c r="L144" s="11" t="s">
        <v>177</v>
      </c>
      <c r="M144" s="11" t="s">
        <v>177</v>
      </c>
    </row>
    <row r="145" spans="1:13" ht="45" customHeight="1" x14ac:dyDescent="0.25">
      <c r="A145" s="11" t="s">
        <v>197</v>
      </c>
      <c r="B145" s="11" t="s">
        <v>177</v>
      </c>
      <c r="C145" s="11" t="s">
        <v>198</v>
      </c>
      <c r="D145" s="11" t="s">
        <v>87</v>
      </c>
      <c r="E145" s="11" t="s">
        <v>301</v>
      </c>
      <c r="F145" s="11" t="s">
        <v>305</v>
      </c>
      <c r="G145" s="11" t="s">
        <v>234</v>
      </c>
      <c r="H145" s="11" t="s">
        <v>182</v>
      </c>
      <c r="I145" s="11" t="s">
        <v>183</v>
      </c>
      <c r="J145" s="11" t="s">
        <v>184</v>
      </c>
      <c r="K145" s="11" t="s">
        <v>177</v>
      </c>
      <c r="L145" s="11" t="s">
        <v>177</v>
      </c>
      <c r="M145" s="11" t="s">
        <v>177</v>
      </c>
    </row>
    <row r="146" spans="1:13" ht="45" customHeight="1" x14ac:dyDescent="0.25">
      <c r="A146" s="11" t="s">
        <v>194</v>
      </c>
      <c r="B146" s="11" t="s">
        <v>177</v>
      </c>
      <c r="C146" s="11" t="s">
        <v>195</v>
      </c>
      <c r="D146" s="11" t="s">
        <v>87</v>
      </c>
      <c r="E146" s="11" t="s">
        <v>301</v>
      </c>
      <c r="F146" s="11" t="s">
        <v>296</v>
      </c>
      <c r="G146" s="11" t="s">
        <v>234</v>
      </c>
      <c r="H146" s="11" t="s">
        <v>182</v>
      </c>
      <c r="I146" s="11" t="s">
        <v>183</v>
      </c>
      <c r="J146" s="11" t="s">
        <v>184</v>
      </c>
      <c r="K146" s="11" t="s">
        <v>177</v>
      </c>
      <c r="L146" s="11" t="s">
        <v>177</v>
      </c>
      <c r="M146" s="11" t="s">
        <v>177</v>
      </c>
    </row>
    <row r="147" spans="1:13" ht="45" customHeight="1" x14ac:dyDescent="0.25">
      <c r="A147" s="11" t="s">
        <v>194</v>
      </c>
      <c r="B147" s="11" t="s">
        <v>177</v>
      </c>
      <c r="C147" s="11" t="s">
        <v>195</v>
      </c>
      <c r="D147" s="11" t="s">
        <v>87</v>
      </c>
      <c r="E147" s="11" t="s">
        <v>301</v>
      </c>
      <c r="F147" s="11" t="s">
        <v>296</v>
      </c>
      <c r="G147" s="11" t="s">
        <v>234</v>
      </c>
      <c r="H147" s="11" t="s">
        <v>182</v>
      </c>
      <c r="I147" s="11" t="s">
        <v>183</v>
      </c>
      <c r="J147" s="11" t="s">
        <v>184</v>
      </c>
      <c r="K147" s="11" t="s">
        <v>177</v>
      </c>
      <c r="L147" s="11" t="s">
        <v>177</v>
      </c>
      <c r="M147" s="11" t="s">
        <v>177</v>
      </c>
    </row>
    <row r="148" spans="1:13" ht="45" customHeight="1" x14ac:dyDescent="0.25">
      <c r="A148" s="11" t="s">
        <v>191</v>
      </c>
      <c r="B148" s="11" t="s">
        <v>177</v>
      </c>
      <c r="C148" s="11" t="s">
        <v>192</v>
      </c>
      <c r="D148" s="11" t="s">
        <v>87</v>
      </c>
      <c r="E148" s="11" t="s">
        <v>301</v>
      </c>
      <c r="F148" s="11" t="s">
        <v>306</v>
      </c>
      <c r="G148" s="11" t="s">
        <v>234</v>
      </c>
      <c r="H148" s="11" t="s">
        <v>182</v>
      </c>
      <c r="I148" s="11" t="s">
        <v>183</v>
      </c>
      <c r="J148" s="11" t="s">
        <v>184</v>
      </c>
      <c r="K148" s="11" t="s">
        <v>177</v>
      </c>
      <c r="L148" s="11" t="s">
        <v>177</v>
      </c>
      <c r="M148" s="11" t="s">
        <v>177</v>
      </c>
    </row>
    <row r="149" spans="1:13" ht="45" customHeight="1" x14ac:dyDescent="0.25">
      <c r="A149" s="11" t="s">
        <v>217</v>
      </c>
      <c r="B149" s="11" t="s">
        <v>177</v>
      </c>
      <c r="C149" s="11" t="s">
        <v>218</v>
      </c>
      <c r="D149" s="11" t="s">
        <v>87</v>
      </c>
      <c r="E149" s="11" t="s">
        <v>301</v>
      </c>
      <c r="F149" s="11" t="s">
        <v>306</v>
      </c>
      <c r="G149" s="11" t="s">
        <v>234</v>
      </c>
      <c r="H149" s="11" t="s">
        <v>182</v>
      </c>
      <c r="I149" s="11" t="s">
        <v>183</v>
      </c>
      <c r="J149" s="11" t="s">
        <v>184</v>
      </c>
      <c r="K149" s="11" t="s">
        <v>177</v>
      </c>
      <c r="L149" s="11" t="s">
        <v>177</v>
      </c>
      <c r="M149" s="11" t="s">
        <v>177</v>
      </c>
    </row>
    <row r="150" spans="1:13" ht="45" customHeight="1" x14ac:dyDescent="0.25">
      <c r="A150" s="11" t="s">
        <v>185</v>
      </c>
      <c r="B150" s="11" t="s">
        <v>177</v>
      </c>
      <c r="C150" s="11" t="s">
        <v>186</v>
      </c>
      <c r="D150" s="11" t="s">
        <v>87</v>
      </c>
      <c r="E150" s="11" t="s">
        <v>301</v>
      </c>
      <c r="F150" s="11" t="s">
        <v>307</v>
      </c>
      <c r="G150" s="11" t="s">
        <v>234</v>
      </c>
      <c r="H150" s="11" t="s">
        <v>182</v>
      </c>
      <c r="I150" s="11" t="s">
        <v>183</v>
      </c>
      <c r="J150" s="11" t="s">
        <v>184</v>
      </c>
      <c r="K150" s="11" t="s">
        <v>177</v>
      </c>
      <c r="L150" s="11" t="s">
        <v>177</v>
      </c>
      <c r="M150" s="11" t="s">
        <v>177</v>
      </c>
    </row>
    <row r="151" spans="1:13" ht="45" customHeight="1" x14ac:dyDescent="0.25">
      <c r="A151" s="11" t="s">
        <v>188</v>
      </c>
      <c r="B151" s="11" t="s">
        <v>177</v>
      </c>
      <c r="C151" s="11" t="s">
        <v>189</v>
      </c>
      <c r="D151" s="11" t="s">
        <v>87</v>
      </c>
      <c r="E151" s="11" t="s">
        <v>301</v>
      </c>
      <c r="F151" s="11" t="s">
        <v>308</v>
      </c>
      <c r="G151" s="11" t="s">
        <v>234</v>
      </c>
      <c r="H151" s="11" t="s">
        <v>182</v>
      </c>
      <c r="I151" s="11" t="s">
        <v>183</v>
      </c>
      <c r="J151" s="11" t="s">
        <v>184</v>
      </c>
      <c r="K151" s="11" t="s">
        <v>177</v>
      </c>
      <c r="L151" s="11" t="s">
        <v>177</v>
      </c>
      <c r="M151" s="11" t="s">
        <v>177</v>
      </c>
    </row>
    <row r="152" spans="1:13" ht="45" customHeight="1" x14ac:dyDescent="0.25">
      <c r="A152" s="11" t="s">
        <v>194</v>
      </c>
      <c r="B152" s="11" t="s">
        <v>177</v>
      </c>
      <c r="C152" s="11" t="s">
        <v>195</v>
      </c>
      <c r="D152" s="11" t="s">
        <v>87</v>
      </c>
      <c r="E152" s="11" t="s">
        <v>301</v>
      </c>
      <c r="F152" s="11" t="s">
        <v>209</v>
      </c>
      <c r="G152" s="11" t="s">
        <v>234</v>
      </c>
      <c r="H152" s="11" t="s">
        <v>182</v>
      </c>
      <c r="I152" s="11" t="s">
        <v>183</v>
      </c>
      <c r="J152" s="11" t="s">
        <v>184</v>
      </c>
      <c r="K152" s="11" t="s">
        <v>177</v>
      </c>
      <c r="L152" s="11" t="s">
        <v>177</v>
      </c>
      <c r="M152" s="11" t="s">
        <v>177</v>
      </c>
    </row>
    <row r="153" spans="1:13" ht="45" customHeight="1" x14ac:dyDescent="0.25">
      <c r="A153" s="11" t="s">
        <v>197</v>
      </c>
      <c r="B153" s="11" t="s">
        <v>177</v>
      </c>
      <c r="C153" s="11" t="s">
        <v>198</v>
      </c>
      <c r="D153" s="11" t="s">
        <v>87</v>
      </c>
      <c r="E153" s="11" t="s">
        <v>301</v>
      </c>
      <c r="F153" s="11" t="s">
        <v>309</v>
      </c>
      <c r="G153" s="11" t="s">
        <v>234</v>
      </c>
      <c r="H153" s="11" t="s">
        <v>182</v>
      </c>
      <c r="I153" s="11" t="s">
        <v>183</v>
      </c>
      <c r="J153" s="11" t="s">
        <v>184</v>
      </c>
      <c r="K153" s="11" t="s">
        <v>177</v>
      </c>
      <c r="L153" s="11" t="s">
        <v>177</v>
      </c>
      <c r="M153" s="11" t="s">
        <v>177</v>
      </c>
    </row>
    <row r="154" spans="1:13" ht="45" customHeight="1" x14ac:dyDescent="0.25">
      <c r="A154" s="11" t="s">
        <v>176</v>
      </c>
      <c r="B154" s="11" t="s">
        <v>177</v>
      </c>
      <c r="C154" s="11" t="s">
        <v>178</v>
      </c>
      <c r="D154" s="11" t="s">
        <v>87</v>
      </c>
      <c r="E154" s="11" t="s">
        <v>310</v>
      </c>
      <c r="F154" s="11" t="s">
        <v>233</v>
      </c>
      <c r="G154" s="11" t="s">
        <v>249</v>
      </c>
      <c r="H154" s="11" t="s">
        <v>182</v>
      </c>
      <c r="I154" s="11" t="s">
        <v>183</v>
      </c>
      <c r="J154" s="11" t="s">
        <v>184</v>
      </c>
      <c r="K154" s="11" t="s">
        <v>177</v>
      </c>
      <c r="L154" s="11" t="s">
        <v>177</v>
      </c>
      <c r="M154" s="11" t="s">
        <v>177</v>
      </c>
    </row>
    <row r="155" spans="1:13" ht="45" customHeight="1" x14ac:dyDescent="0.25">
      <c r="A155" s="11" t="s">
        <v>188</v>
      </c>
      <c r="B155" s="11" t="s">
        <v>177</v>
      </c>
      <c r="C155" s="11" t="s">
        <v>189</v>
      </c>
      <c r="D155" s="11" t="s">
        <v>87</v>
      </c>
      <c r="E155" s="11" t="s">
        <v>310</v>
      </c>
      <c r="F155" s="11" t="s">
        <v>261</v>
      </c>
      <c r="G155" s="11" t="s">
        <v>249</v>
      </c>
      <c r="H155" s="11" t="s">
        <v>182</v>
      </c>
      <c r="I155" s="11" t="s">
        <v>183</v>
      </c>
      <c r="J155" s="11" t="s">
        <v>184</v>
      </c>
      <c r="K155" s="11" t="s">
        <v>177</v>
      </c>
      <c r="L155" s="11" t="s">
        <v>177</v>
      </c>
      <c r="M155" s="11" t="s">
        <v>177</v>
      </c>
    </row>
    <row r="156" spans="1:13" ht="45" customHeight="1" x14ac:dyDescent="0.25">
      <c r="A156" s="11" t="s">
        <v>185</v>
      </c>
      <c r="B156" s="11" t="s">
        <v>177</v>
      </c>
      <c r="C156" s="11" t="s">
        <v>186</v>
      </c>
      <c r="D156" s="11" t="s">
        <v>87</v>
      </c>
      <c r="E156" s="11" t="s">
        <v>310</v>
      </c>
      <c r="F156" s="11" t="s">
        <v>214</v>
      </c>
      <c r="G156" s="11" t="s">
        <v>249</v>
      </c>
      <c r="H156" s="11" t="s">
        <v>182</v>
      </c>
      <c r="I156" s="11" t="s">
        <v>183</v>
      </c>
      <c r="J156" s="11" t="s">
        <v>184</v>
      </c>
      <c r="K156" s="11" t="s">
        <v>177</v>
      </c>
      <c r="L156" s="11" t="s">
        <v>177</v>
      </c>
      <c r="M156" s="11" t="s">
        <v>177</v>
      </c>
    </row>
    <row r="157" spans="1:13" ht="45" customHeight="1" x14ac:dyDescent="0.25">
      <c r="A157" s="11" t="s">
        <v>191</v>
      </c>
      <c r="B157" s="11" t="s">
        <v>177</v>
      </c>
      <c r="C157" s="11" t="s">
        <v>192</v>
      </c>
      <c r="D157" s="11" t="s">
        <v>87</v>
      </c>
      <c r="E157" s="11" t="s">
        <v>310</v>
      </c>
      <c r="F157" s="11" t="s">
        <v>311</v>
      </c>
      <c r="G157" s="11" t="s">
        <v>249</v>
      </c>
      <c r="H157" s="11" t="s">
        <v>182</v>
      </c>
      <c r="I157" s="11" t="s">
        <v>183</v>
      </c>
      <c r="J157" s="11" t="s">
        <v>184</v>
      </c>
      <c r="K157" s="11" t="s">
        <v>177</v>
      </c>
      <c r="L157" s="11" t="s">
        <v>177</v>
      </c>
      <c r="M157" s="11" t="s">
        <v>177</v>
      </c>
    </row>
    <row r="158" spans="1:13" ht="45" customHeight="1" x14ac:dyDescent="0.25">
      <c r="A158" s="11" t="s">
        <v>200</v>
      </c>
      <c r="B158" s="11" t="s">
        <v>177</v>
      </c>
      <c r="C158" s="11" t="s">
        <v>201</v>
      </c>
      <c r="D158" s="11" t="s">
        <v>87</v>
      </c>
      <c r="E158" s="11" t="s">
        <v>310</v>
      </c>
      <c r="F158" s="11" t="s">
        <v>216</v>
      </c>
      <c r="G158" s="11" t="s">
        <v>249</v>
      </c>
      <c r="H158" s="11" t="s">
        <v>182</v>
      </c>
      <c r="I158" s="11" t="s">
        <v>183</v>
      </c>
      <c r="J158" s="11" t="s">
        <v>184</v>
      </c>
      <c r="K158" s="11" t="s">
        <v>177</v>
      </c>
      <c r="L158" s="11" t="s">
        <v>177</v>
      </c>
      <c r="M158" s="11" t="s">
        <v>177</v>
      </c>
    </row>
    <row r="159" spans="1:13" ht="45" customHeight="1" x14ac:dyDescent="0.25">
      <c r="A159" s="11" t="s">
        <v>312</v>
      </c>
      <c r="B159" s="11" t="s">
        <v>177</v>
      </c>
      <c r="C159" s="11" t="s">
        <v>313</v>
      </c>
      <c r="D159" s="11" t="s">
        <v>87</v>
      </c>
      <c r="E159" s="11" t="s">
        <v>310</v>
      </c>
      <c r="F159" s="11" t="s">
        <v>282</v>
      </c>
      <c r="G159" s="11" t="s">
        <v>249</v>
      </c>
      <c r="H159" s="11" t="s">
        <v>182</v>
      </c>
      <c r="I159" s="11" t="s">
        <v>183</v>
      </c>
      <c r="J159" s="11" t="s">
        <v>184</v>
      </c>
      <c r="K159" s="11" t="s">
        <v>177</v>
      </c>
      <c r="L159" s="11" t="s">
        <v>177</v>
      </c>
      <c r="M159" s="11" t="s">
        <v>177</v>
      </c>
    </row>
    <row r="160" spans="1:13" ht="45" customHeight="1" x14ac:dyDescent="0.25">
      <c r="A160" s="11" t="s">
        <v>194</v>
      </c>
      <c r="B160" s="11" t="s">
        <v>177</v>
      </c>
      <c r="C160" s="11" t="s">
        <v>195</v>
      </c>
      <c r="D160" s="11" t="s">
        <v>87</v>
      </c>
      <c r="E160" s="11" t="s">
        <v>310</v>
      </c>
      <c r="F160" s="11" t="s">
        <v>314</v>
      </c>
      <c r="G160" s="11" t="s">
        <v>249</v>
      </c>
      <c r="H160" s="11" t="s">
        <v>182</v>
      </c>
      <c r="I160" s="11" t="s">
        <v>183</v>
      </c>
      <c r="J160" s="11" t="s">
        <v>184</v>
      </c>
      <c r="K160" s="11" t="s">
        <v>177</v>
      </c>
      <c r="L160" s="11" t="s">
        <v>177</v>
      </c>
      <c r="M160" s="11" t="s">
        <v>177</v>
      </c>
    </row>
    <row r="161" spans="1:13" ht="45" customHeight="1" x14ac:dyDescent="0.25">
      <c r="A161" s="11" t="s">
        <v>197</v>
      </c>
      <c r="B161" s="11" t="s">
        <v>177</v>
      </c>
      <c r="C161" s="11" t="s">
        <v>198</v>
      </c>
      <c r="D161" s="11" t="s">
        <v>87</v>
      </c>
      <c r="E161" s="11" t="s">
        <v>310</v>
      </c>
      <c r="F161" s="11" t="s">
        <v>315</v>
      </c>
      <c r="G161" s="11" t="s">
        <v>249</v>
      </c>
      <c r="H161" s="11" t="s">
        <v>182</v>
      </c>
      <c r="I161" s="11" t="s">
        <v>183</v>
      </c>
      <c r="J161" s="11" t="s">
        <v>184</v>
      </c>
      <c r="K161" s="11" t="s">
        <v>177</v>
      </c>
      <c r="L161" s="11" t="s">
        <v>177</v>
      </c>
      <c r="M161" s="11" t="s">
        <v>177</v>
      </c>
    </row>
    <row r="162" spans="1:13" ht="45" customHeight="1" x14ac:dyDescent="0.25">
      <c r="A162" s="11" t="s">
        <v>194</v>
      </c>
      <c r="B162" s="11" t="s">
        <v>177</v>
      </c>
      <c r="C162" s="11" t="s">
        <v>195</v>
      </c>
      <c r="D162" s="11" t="s">
        <v>87</v>
      </c>
      <c r="E162" s="11" t="s">
        <v>310</v>
      </c>
      <c r="F162" s="11" t="s">
        <v>203</v>
      </c>
      <c r="G162" s="11" t="s">
        <v>249</v>
      </c>
      <c r="H162" s="11" t="s">
        <v>182</v>
      </c>
      <c r="I162" s="11" t="s">
        <v>183</v>
      </c>
      <c r="J162" s="11" t="s">
        <v>184</v>
      </c>
      <c r="K162" s="11" t="s">
        <v>177</v>
      </c>
      <c r="L162" s="11" t="s">
        <v>177</v>
      </c>
      <c r="M162" s="11" t="s">
        <v>177</v>
      </c>
    </row>
    <row r="163" spans="1:13" ht="45" customHeight="1" x14ac:dyDescent="0.25">
      <c r="A163" s="11" t="s">
        <v>197</v>
      </c>
      <c r="B163" s="11" t="s">
        <v>177</v>
      </c>
      <c r="C163" s="11" t="s">
        <v>198</v>
      </c>
      <c r="D163" s="11" t="s">
        <v>87</v>
      </c>
      <c r="E163" s="11" t="s">
        <v>310</v>
      </c>
      <c r="F163" s="11" t="s">
        <v>204</v>
      </c>
      <c r="G163" s="11" t="s">
        <v>249</v>
      </c>
      <c r="H163" s="11" t="s">
        <v>182</v>
      </c>
      <c r="I163" s="11" t="s">
        <v>183</v>
      </c>
      <c r="J163" s="11" t="s">
        <v>184</v>
      </c>
      <c r="K163" s="11" t="s">
        <v>177</v>
      </c>
      <c r="L163" s="11" t="s">
        <v>177</v>
      </c>
      <c r="M163" s="11" t="s">
        <v>177</v>
      </c>
    </row>
    <row r="164" spans="1:13" ht="45" customHeight="1" x14ac:dyDescent="0.25">
      <c r="A164" s="11" t="s">
        <v>185</v>
      </c>
      <c r="B164" s="11" t="s">
        <v>177</v>
      </c>
      <c r="C164" s="11" t="s">
        <v>186</v>
      </c>
      <c r="D164" s="11" t="s">
        <v>87</v>
      </c>
      <c r="E164" s="11" t="s">
        <v>310</v>
      </c>
      <c r="F164" s="11" t="s">
        <v>284</v>
      </c>
      <c r="G164" s="11" t="s">
        <v>249</v>
      </c>
      <c r="H164" s="11" t="s">
        <v>182</v>
      </c>
      <c r="I164" s="11" t="s">
        <v>183</v>
      </c>
      <c r="J164" s="11" t="s">
        <v>184</v>
      </c>
      <c r="K164" s="11" t="s">
        <v>177</v>
      </c>
      <c r="L164" s="11" t="s">
        <v>177</v>
      </c>
      <c r="M164" s="11" t="s">
        <v>177</v>
      </c>
    </row>
    <row r="165" spans="1:13" ht="45" customHeight="1" x14ac:dyDescent="0.25">
      <c r="A165" s="11" t="s">
        <v>176</v>
      </c>
      <c r="B165" s="11" t="s">
        <v>177</v>
      </c>
      <c r="C165" s="11" t="s">
        <v>178</v>
      </c>
      <c r="D165" s="11" t="s">
        <v>87</v>
      </c>
      <c r="E165" s="11" t="s">
        <v>310</v>
      </c>
      <c r="F165" s="11" t="s">
        <v>316</v>
      </c>
      <c r="G165" s="11" t="s">
        <v>249</v>
      </c>
      <c r="H165" s="11" t="s">
        <v>182</v>
      </c>
      <c r="I165" s="11" t="s">
        <v>183</v>
      </c>
      <c r="J165" s="11" t="s">
        <v>184</v>
      </c>
      <c r="K165" s="11" t="s">
        <v>177</v>
      </c>
      <c r="L165" s="11" t="s">
        <v>177</v>
      </c>
      <c r="M165" s="11" t="s">
        <v>177</v>
      </c>
    </row>
    <row r="166" spans="1:13" ht="45" customHeight="1" x14ac:dyDescent="0.25">
      <c r="A166" s="11" t="s">
        <v>191</v>
      </c>
      <c r="B166" s="11" t="s">
        <v>177</v>
      </c>
      <c r="C166" s="11" t="s">
        <v>192</v>
      </c>
      <c r="D166" s="11" t="s">
        <v>87</v>
      </c>
      <c r="E166" s="11" t="s">
        <v>310</v>
      </c>
      <c r="F166" s="11" t="s">
        <v>317</v>
      </c>
      <c r="G166" s="11" t="s">
        <v>249</v>
      </c>
      <c r="H166" s="11" t="s">
        <v>182</v>
      </c>
      <c r="I166" s="11" t="s">
        <v>183</v>
      </c>
      <c r="J166" s="11" t="s">
        <v>184</v>
      </c>
      <c r="K166" s="11" t="s">
        <v>177</v>
      </c>
      <c r="L166" s="11" t="s">
        <v>177</v>
      </c>
      <c r="M166" s="11" t="s">
        <v>177</v>
      </c>
    </row>
    <row r="167" spans="1:13" ht="45" customHeight="1" x14ac:dyDescent="0.25">
      <c r="A167" s="11" t="s">
        <v>191</v>
      </c>
      <c r="B167" s="11" t="s">
        <v>177</v>
      </c>
      <c r="C167" s="11" t="s">
        <v>192</v>
      </c>
      <c r="D167" s="11" t="s">
        <v>87</v>
      </c>
      <c r="E167" s="11" t="s">
        <v>310</v>
      </c>
      <c r="F167" s="11" t="s">
        <v>317</v>
      </c>
      <c r="G167" s="11" t="s">
        <v>249</v>
      </c>
      <c r="H167" s="11" t="s">
        <v>182</v>
      </c>
      <c r="I167" s="11" t="s">
        <v>183</v>
      </c>
      <c r="J167" s="11" t="s">
        <v>184</v>
      </c>
      <c r="K167" s="11" t="s">
        <v>177</v>
      </c>
      <c r="L167" s="11" t="s">
        <v>177</v>
      </c>
      <c r="M167" s="11" t="s">
        <v>177</v>
      </c>
    </row>
    <row r="168" spans="1:13" ht="45" customHeight="1" x14ac:dyDescent="0.25">
      <c r="A168" s="11" t="s">
        <v>188</v>
      </c>
      <c r="B168" s="11" t="s">
        <v>177</v>
      </c>
      <c r="C168" s="11" t="s">
        <v>189</v>
      </c>
      <c r="D168" s="11" t="s">
        <v>87</v>
      </c>
      <c r="E168" s="11" t="s">
        <v>310</v>
      </c>
      <c r="F168" s="11" t="s">
        <v>317</v>
      </c>
      <c r="G168" s="11" t="s">
        <v>249</v>
      </c>
      <c r="H168" s="11" t="s">
        <v>182</v>
      </c>
      <c r="I168" s="11" t="s">
        <v>183</v>
      </c>
      <c r="J168" s="11" t="s">
        <v>184</v>
      </c>
      <c r="K168" s="11" t="s">
        <v>177</v>
      </c>
      <c r="L168" s="11" t="s">
        <v>177</v>
      </c>
      <c r="M168" s="11" t="s">
        <v>177</v>
      </c>
    </row>
    <row r="169" spans="1:13" ht="45" customHeight="1" x14ac:dyDescent="0.25">
      <c r="A169" s="11" t="s">
        <v>312</v>
      </c>
      <c r="B169" s="11" t="s">
        <v>177</v>
      </c>
      <c r="C169" s="11" t="s">
        <v>313</v>
      </c>
      <c r="D169" s="11" t="s">
        <v>87</v>
      </c>
      <c r="E169" s="11" t="s">
        <v>310</v>
      </c>
      <c r="F169" s="11" t="s">
        <v>318</v>
      </c>
      <c r="G169" s="11" t="s">
        <v>249</v>
      </c>
      <c r="H169" s="11" t="s">
        <v>182</v>
      </c>
      <c r="I169" s="11" t="s">
        <v>183</v>
      </c>
      <c r="J169" s="11" t="s">
        <v>184</v>
      </c>
      <c r="K169" s="11" t="s">
        <v>177</v>
      </c>
      <c r="L169" s="11" t="s">
        <v>177</v>
      </c>
      <c r="M169" s="11" t="s">
        <v>177</v>
      </c>
    </row>
    <row r="170" spans="1:13" ht="45" customHeight="1" x14ac:dyDescent="0.25">
      <c r="A170" s="11" t="s">
        <v>197</v>
      </c>
      <c r="B170" s="11" t="s">
        <v>177</v>
      </c>
      <c r="C170" s="11" t="s">
        <v>198</v>
      </c>
      <c r="D170" s="11" t="s">
        <v>87</v>
      </c>
      <c r="E170" s="11" t="s">
        <v>310</v>
      </c>
      <c r="F170" s="11" t="s">
        <v>319</v>
      </c>
      <c r="G170" s="11" t="s">
        <v>249</v>
      </c>
      <c r="H170" s="11" t="s">
        <v>182</v>
      </c>
      <c r="I170" s="11" t="s">
        <v>183</v>
      </c>
      <c r="J170" s="11" t="s">
        <v>184</v>
      </c>
      <c r="K170" s="11" t="s">
        <v>177</v>
      </c>
      <c r="L170" s="11" t="s">
        <v>177</v>
      </c>
      <c r="M170" s="11" t="s">
        <v>177</v>
      </c>
    </row>
    <row r="171" spans="1:13" ht="45" customHeight="1" x14ac:dyDescent="0.25">
      <c r="A171" s="11" t="s">
        <v>194</v>
      </c>
      <c r="B171" s="11" t="s">
        <v>177</v>
      </c>
      <c r="C171" s="11" t="s">
        <v>195</v>
      </c>
      <c r="D171" s="11" t="s">
        <v>87</v>
      </c>
      <c r="E171" s="11" t="s">
        <v>310</v>
      </c>
      <c r="F171" s="11" t="s">
        <v>320</v>
      </c>
      <c r="G171" s="11" t="s">
        <v>249</v>
      </c>
      <c r="H171" s="11" t="s">
        <v>182</v>
      </c>
      <c r="I171" s="11" t="s">
        <v>183</v>
      </c>
      <c r="J171" s="11" t="s">
        <v>184</v>
      </c>
      <c r="K171" s="11" t="s">
        <v>177</v>
      </c>
      <c r="L171" s="11" t="s">
        <v>177</v>
      </c>
      <c r="M171" s="11" t="s">
        <v>177</v>
      </c>
    </row>
    <row r="172" spans="1:13" ht="45" customHeight="1" x14ac:dyDescent="0.25">
      <c r="A172" s="11" t="s">
        <v>176</v>
      </c>
      <c r="B172" s="11" t="s">
        <v>177</v>
      </c>
      <c r="C172" s="11" t="s">
        <v>178</v>
      </c>
      <c r="D172" s="11" t="s">
        <v>87</v>
      </c>
      <c r="E172" s="11" t="s">
        <v>321</v>
      </c>
      <c r="F172" s="11" t="s">
        <v>322</v>
      </c>
      <c r="G172" s="11" t="s">
        <v>262</v>
      </c>
      <c r="H172" s="11" t="s">
        <v>182</v>
      </c>
      <c r="I172" s="11" t="s">
        <v>183</v>
      </c>
      <c r="J172" s="11" t="s">
        <v>184</v>
      </c>
      <c r="K172" s="11" t="s">
        <v>177</v>
      </c>
      <c r="L172" s="11" t="s">
        <v>177</v>
      </c>
      <c r="M172" s="11" t="s">
        <v>177</v>
      </c>
    </row>
    <row r="173" spans="1:13" ht="45" customHeight="1" x14ac:dyDescent="0.25">
      <c r="A173" s="11" t="s">
        <v>312</v>
      </c>
      <c r="B173" s="11" t="s">
        <v>177</v>
      </c>
      <c r="C173" s="11" t="s">
        <v>313</v>
      </c>
      <c r="D173" s="11" t="s">
        <v>87</v>
      </c>
      <c r="E173" s="11" t="s">
        <v>321</v>
      </c>
      <c r="F173" s="11" t="s">
        <v>190</v>
      </c>
      <c r="G173" s="11" t="s">
        <v>262</v>
      </c>
      <c r="H173" s="11" t="s">
        <v>182</v>
      </c>
      <c r="I173" s="11" t="s">
        <v>183</v>
      </c>
      <c r="J173" s="11" t="s">
        <v>184</v>
      </c>
      <c r="K173" s="11" t="s">
        <v>177</v>
      </c>
      <c r="L173" s="11" t="s">
        <v>177</v>
      </c>
      <c r="M173" s="11" t="s">
        <v>177</v>
      </c>
    </row>
    <row r="174" spans="1:13" ht="45" customHeight="1" x14ac:dyDescent="0.25">
      <c r="A174" s="11" t="s">
        <v>185</v>
      </c>
      <c r="B174" s="11" t="s">
        <v>177</v>
      </c>
      <c r="C174" s="11" t="s">
        <v>186</v>
      </c>
      <c r="D174" s="11" t="s">
        <v>87</v>
      </c>
      <c r="E174" s="11" t="s">
        <v>321</v>
      </c>
      <c r="F174" s="11" t="s">
        <v>303</v>
      </c>
      <c r="G174" s="11" t="s">
        <v>262</v>
      </c>
      <c r="H174" s="11" t="s">
        <v>182</v>
      </c>
      <c r="I174" s="11" t="s">
        <v>183</v>
      </c>
      <c r="J174" s="11" t="s">
        <v>184</v>
      </c>
      <c r="K174" s="11" t="s">
        <v>177</v>
      </c>
      <c r="L174" s="11" t="s">
        <v>177</v>
      </c>
      <c r="M174" s="11" t="s">
        <v>177</v>
      </c>
    </row>
    <row r="175" spans="1:13" ht="45" customHeight="1" x14ac:dyDescent="0.25">
      <c r="A175" s="11" t="s">
        <v>200</v>
      </c>
      <c r="B175" s="11" t="s">
        <v>177</v>
      </c>
      <c r="C175" s="11" t="s">
        <v>201</v>
      </c>
      <c r="D175" s="11" t="s">
        <v>87</v>
      </c>
      <c r="E175" s="11" t="s">
        <v>321</v>
      </c>
      <c r="F175" s="11" t="s">
        <v>323</v>
      </c>
      <c r="G175" s="11" t="s">
        <v>262</v>
      </c>
      <c r="H175" s="11" t="s">
        <v>182</v>
      </c>
      <c r="I175" s="11" t="s">
        <v>183</v>
      </c>
      <c r="J175" s="11" t="s">
        <v>184</v>
      </c>
      <c r="K175" s="11" t="s">
        <v>177</v>
      </c>
      <c r="L175" s="11" t="s">
        <v>177</v>
      </c>
      <c r="M175" s="11" t="s">
        <v>177</v>
      </c>
    </row>
    <row r="176" spans="1:13" ht="45" customHeight="1" x14ac:dyDescent="0.25">
      <c r="A176" s="11" t="s">
        <v>217</v>
      </c>
      <c r="B176" s="11" t="s">
        <v>177</v>
      </c>
      <c r="C176" s="11" t="s">
        <v>218</v>
      </c>
      <c r="D176" s="11" t="s">
        <v>87</v>
      </c>
      <c r="E176" s="11" t="s">
        <v>321</v>
      </c>
      <c r="F176" s="11" t="s">
        <v>281</v>
      </c>
      <c r="G176" s="11" t="s">
        <v>262</v>
      </c>
      <c r="H176" s="11" t="s">
        <v>182</v>
      </c>
      <c r="I176" s="11" t="s">
        <v>183</v>
      </c>
      <c r="J176" s="11" t="s">
        <v>184</v>
      </c>
      <c r="K176" s="11" t="s">
        <v>177</v>
      </c>
      <c r="L176" s="11" t="s">
        <v>177</v>
      </c>
      <c r="M176" s="11" t="s">
        <v>177</v>
      </c>
    </row>
    <row r="177" spans="1:13" ht="45" customHeight="1" x14ac:dyDescent="0.25">
      <c r="A177" s="11" t="s">
        <v>191</v>
      </c>
      <c r="B177" s="11" t="s">
        <v>177</v>
      </c>
      <c r="C177" s="11" t="s">
        <v>192</v>
      </c>
      <c r="D177" s="11" t="s">
        <v>87</v>
      </c>
      <c r="E177" s="11" t="s">
        <v>321</v>
      </c>
      <c r="F177" s="11" t="s">
        <v>294</v>
      </c>
      <c r="G177" s="11" t="s">
        <v>262</v>
      </c>
      <c r="H177" s="11" t="s">
        <v>182</v>
      </c>
      <c r="I177" s="11" t="s">
        <v>183</v>
      </c>
      <c r="J177" s="11" t="s">
        <v>184</v>
      </c>
      <c r="K177" s="11" t="s">
        <v>177</v>
      </c>
      <c r="L177" s="11" t="s">
        <v>177</v>
      </c>
      <c r="M177" s="11" t="s">
        <v>177</v>
      </c>
    </row>
    <row r="178" spans="1:13" ht="45" customHeight="1" x14ac:dyDescent="0.25">
      <c r="A178" s="11" t="s">
        <v>194</v>
      </c>
      <c r="B178" s="11" t="s">
        <v>177</v>
      </c>
      <c r="C178" s="11" t="s">
        <v>195</v>
      </c>
      <c r="D178" s="11" t="s">
        <v>87</v>
      </c>
      <c r="E178" s="11" t="s">
        <v>321</v>
      </c>
      <c r="F178" s="11" t="s">
        <v>324</v>
      </c>
      <c r="G178" s="11" t="s">
        <v>262</v>
      </c>
      <c r="H178" s="11" t="s">
        <v>182</v>
      </c>
      <c r="I178" s="11" t="s">
        <v>183</v>
      </c>
      <c r="J178" s="11" t="s">
        <v>184</v>
      </c>
      <c r="K178" s="11" t="s">
        <v>177</v>
      </c>
      <c r="L178" s="11" t="s">
        <v>177</v>
      </c>
      <c r="M178" s="11" t="s">
        <v>177</v>
      </c>
    </row>
    <row r="179" spans="1:13" ht="45" customHeight="1" x14ac:dyDescent="0.25">
      <c r="A179" s="11" t="s">
        <v>197</v>
      </c>
      <c r="B179" s="11" t="s">
        <v>177</v>
      </c>
      <c r="C179" s="11" t="s">
        <v>198</v>
      </c>
      <c r="D179" s="11" t="s">
        <v>87</v>
      </c>
      <c r="E179" s="11" t="s">
        <v>321</v>
      </c>
      <c r="F179" s="11" t="s">
        <v>325</v>
      </c>
      <c r="G179" s="11" t="s">
        <v>262</v>
      </c>
      <c r="H179" s="11" t="s">
        <v>182</v>
      </c>
      <c r="I179" s="11" t="s">
        <v>183</v>
      </c>
      <c r="J179" s="11" t="s">
        <v>184</v>
      </c>
      <c r="K179" s="11" t="s">
        <v>177</v>
      </c>
      <c r="L179" s="11" t="s">
        <v>177</v>
      </c>
      <c r="M179" s="11" t="s">
        <v>177</v>
      </c>
    </row>
    <row r="180" spans="1:13" ht="45" customHeight="1" x14ac:dyDescent="0.25">
      <c r="A180" s="11" t="s">
        <v>194</v>
      </c>
      <c r="B180" s="11" t="s">
        <v>177</v>
      </c>
      <c r="C180" s="11" t="s">
        <v>195</v>
      </c>
      <c r="D180" s="11" t="s">
        <v>87</v>
      </c>
      <c r="E180" s="11" t="s">
        <v>321</v>
      </c>
      <c r="F180" s="11" t="s">
        <v>326</v>
      </c>
      <c r="G180" s="11" t="s">
        <v>262</v>
      </c>
      <c r="H180" s="11" t="s">
        <v>182</v>
      </c>
      <c r="I180" s="11" t="s">
        <v>183</v>
      </c>
      <c r="J180" s="11" t="s">
        <v>184</v>
      </c>
      <c r="K180" s="11" t="s">
        <v>177</v>
      </c>
      <c r="L180" s="11" t="s">
        <v>177</v>
      </c>
      <c r="M180" s="11" t="s">
        <v>177</v>
      </c>
    </row>
    <row r="181" spans="1:13" ht="45" customHeight="1" x14ac:dyDescent="0.25">
      <c r="A181" s="11" t="s">
        <v>194</v>
      </c>
      <c r="B181" s="11" t="s">
        <v>177</v>
      </c>
      <c r="C181" s="11" t="s">
        <v>195</v>
      </c>
      <c r="D181" s="11" t="s">
        <v>87</v>
      </c>
      <c r="E181" s="11" t="s">
        <v>321</v>
      </c>
      <c r="F181" s="11" t="s">
        <v>327</v>
      </c>
      <c r="G181" s="11" t="s">
        <v>262</v>
      </c>
      <c r="H181" s="11" t="s">
        <v>182</v>
      </c>
      <c r="I181" s="11" t="s">
        <v>183</v>
      </c>
      <c r="J181" s="11" t="s">
        <v>184</v>
      </c>
      <c r="K181" s="11" t="s">
        <v>177</v>
      </c>
      <c r="L181" s="11" t="s">
        <v>177</v>
      </c>
      <c r="M181" s="11" t="s">
        <v>177</v>
      </c>
    </row>
    <row r="182" spans="1:13" ht="45" customHeight="1" x14ac:dyDescent="0.25">
      <c r="A182" s="11" t="s">
        <v>197</v>
      </c>
      <c r="B182" s="11" t="s">
        <v>177</v>
      </c>
      <c r="C182" s="11" t="s">
        <v>198</v>
      </c>
      <c r="D182" s="11" t="s">
        <v>87</v>
      </c>
      <c r="E182" s="11" t="s">
        <v>321</v>
      </c>
      <c r="F182" s="11" t="s">
        <v>241</v>
      </c>
      <c r="G182" s="11" t="s">
        <v>262</v>
      </c>
      <c r="H182" s="11" t="s">
        <v>182</v>
      </c>
      <c r="I182" s="11" t="s">
        <v>183</v>
      </c>
      <c r="J182" s="11" t="s">
        <v>184</v>
      </c>
      <c r="K182" s="11" t="s">
        <v>177</v>
      </c>
      <c r="L182" s="11" t="s">
        <v>177</v>
      </c>
      <c r="M182" s="11" t="s">
        <v>177</v>
      </c>
    </row>
    <row r="183" spans="1:13" ht="45" customHeight="1" x14ac:dyDescent="0.25">
      <c r="A183" s="11" t="s">
        <v>200</v>
      </c>
      <c r="B183" s="11" t="s">
        <v>177</v>
      </c>
      <c r="C183" s="11" t="s">
        <v>201</v>
      </c>
      <c r="D183" s="11" t="s">
        <v>87</v>
      </c>
      <c r="E183" s="11" t="s">
        <v>321</v>
      </c>
      <c r="F183" s="11" t="s">
        <v>299</v>
      </c>
      <c r="G183" s="11" t="s">
        <v>262</v>
      </c>
      <c r="H183" s="11" t="s">
        <v>182</v>
      </c>
      <c r="I183" s="11" t="s">
        <v>183</v>
      </c>
      <c r="J183" s="11" t="s">
        <v>184</v>
      </c>
      <c r="K183" s="11" t="s">
        <v>177</v>
      </c>
      <c r="L183" s="11" t="s">
        <v>177</v>
      </c>
      <c r="M183" s="11" t="s">
        <v>177</v>
      </c>
    </row>
    <row r="184" spans="1:13" ht="45" customHeight="1" x14ac:dyDescent="0.25">
      <c r="A184" s="11" t="s">
        <v>185</v>
      </c>
      <c r="B184" s="11" t="s">
        <v>177</v>
      </c>
      <c r="C184" s="11" t="s">
        <v>186</v>
      </c>
      <c r="D184" s="11" t="s">
        <v>87</v>
      </c>
      <c r="E184" s="11" t="s">
        <v>321</v>
      </c>
      <c r="F184" s="11" t="s">
        <v>228</v>
      </c>
      <c r="G184" s="11" t="s">
        <v>262</v>
      </c>
      <c r="H184" s="11" t="s">
        <v>182</v>
      </c>
      <c r="I184" s="11" t="s">
        <v>183</v>
      </c>
      <c r="J184" s="11" t="s">
        <v>184</v>
      </c>
      <c r="K184" s="11" t="s">
        <v>177</v>
      </c>
      <c r="L184" s="11" t="s">
        <v>177</v>
      </c>
      <c r="M184" s="11" t="s">
        <v>177</v>
      </c>
    </row>
    <row r="185" spans="1:13" ht="45" customHeight="1" x14ac:dyDescent="0.25">
      <c r="A185" s="11" t="s">
        <v>176</v>
      </c>
      <c r="B185" s="11" t="s">
        <v>177</v>
      </c>
      <c r="C185" s="11" t="s">
        <v>178</v>
      </c>
      <c r="D185" s="11" t="s">
        <v>87</v>
      </c>
      <c r="E185" s="11" t="s">
        <v>321</v>
      </c>
      <c r="F185" s="11" t="s">
        <v>328</v>
      </c>
      <c r="G185" s="11" t="s">
        <v>262</v>
      </c>
      <c r="H185" s="11" t="s">
        <v>182</v>
      </c>
      <c r="I185" s="11" t="s">
        <v>183</v>
      </c>
      <c r="J185" s="11" t="s">
        <v>184</v>
      </c>
      <c r="K185" s="11" t="s">
        <v>177</v>
      </c>
      <c r="L185" s="11" t="s">
        <v>177</v>
      </c>
      <c r="M185" s="11" t="s">
        <v>177</v>
      </c>
    </row>
    <row r="186" spans="1:13" ht="45" customHeight="1" x14ac:dyDescent="0.25">
      <c r="A186" s="11" t="s">
        <v>197</v>
      </c>
      <c r="B186" s="11" t="s">
        <v>177</v>
      </c>
      <c r="C186" s="11" t="s">
        <v>198</v>
      </c>
      <c r="D186" s="11" t="s">
        <v>87</v>
      </c>
      <c r="E186" s="11" t="s">
        <v>321</v>
      </c>
      <c r="F186" s="11" t="s">
        <v>258</v>
      </c>
      <c r="G186" s="11" t="s">
        <v>262</v>
      </c>
      <c r="H186" s="11" t="s">
        <v>182</v>
      </c>
      <c r="I186" s="11" t="s">
        <v>183</v>
      </c>
      <c r="J186" s="11" t="s">
        <v>184</v>
      </c>
      <c r="K186" s="11" t="s">
        <v>177</v>
      </c>
      <c r="L186" s="11" t="s">
        <v>177</v>
      </c>
      <c r="M186" s="11" t="s">
        <v>177</v>
      </c>
    </row>
    <row r="187" spans="1:13" ht="45" customHeight="1" x14ac:dyDescent="0.25">
      <c r="A187" s="11" t="s">
        <v>194</v>
      </c>
      <c r="B187" s="11" t="s">
        <v>177</v>
      </c>
      <c r="C187" s="11" t="s">
        <v>195</v>
      </c>
      <c r="D187" s="11" t="s">
        <v>87</v>
      </c>
      <c r="E187" s="11" t="s">
        <v>321</v>
      </c>
      <c r="F187" s="11" t="s">
        <v>258</v>
      </c>
      <c r="G187" s="11" t="s">
        <v>262</v>
      </c>
      <c r="H187" s="11" t="s">
        <v>182</v>
      </c>
      <c r="I187" s="11" t="s">
        <v>183</v>
      </c>
      <c r="J187" s="11" t="s">
        <v>184</v>
      </c>
      <c r="K187" s="11" t="s">
        <v>177</v>
      </c>
      <c r="L187" s="11" t="s">
        <v>177</v>
      </c>
      <c r="M187" s="11" t="s">
        <v>177</v>
      </c>
    </row>
    <row r="188" spans="1:13" ht="45" customHeight="1" x14ac:dyDescent="0.25">
      <c r="A188" s="11" t="s">
        <v>176</v>
      </c>
      <c r="B188" s="11" t="s">
        <v>177</v>
      </c>
      <c r="C188" s="11" t="s">
        <v>178</v>
      </c>
      <c r="D188" s="11" t="s">
        <v>87</v>
      </c>
      <c r="E188" s="11" t="s">
        <v>329</v>
      </c>
      <c r="F188" s="11" t="s">
        <v>330</v>
      </c>
      <c r="G188" s="11" t="s">
        <v>279</v>
      </c>
      <c r="H188" s="11" t="s">
        <v>182</v>
      </c>
      <c r="I188" s="11" t="s">
        <v>183</v>
      </c>
      <c r="J188" s="11" t="s">
        <v>184</v>
      </c>
      <c r="K188" s="11" t="s">
        <v>177</v>
      </c>
      <c r="L188" s="11" t="s">
        <v>177</v>
      </c>
      <c r="M188" s="11" t="s">
        <v>177</v>
      </c>
    </row>
    <row r="189" spans="1:13" ht="45" customHeight="1" x14ac:dyDescent="0.25">
      <c r="A189" s="11" t="s">
        <v>185</v>
      </c>
      <c r="B189" s="11" t="s">
        <v>177</v>
      </c>
      <c r="C189" s="11" t="s">
        <v>186</v>
      </c>
      <c r="D189" s="11" t="s">
        <v>87</v>
      </c>
      <c r="E189" s="11" t="s">
        <v>329</v>
      </c>
      <c r="F189" s="11" t="s">
        <v>214</v>
      </c>
      <c r="G189" s="11" t="s">
        <v>279</v>
      </c>
      <c r="H189" s="11" t="s">
        <v>182</v>
      </c>
      <c r="I189" s="11" t="s">
        <v>183</v>
      </c>
      <c r="J189" s="11" t="s">
        <v>184</v>
      </c>
      <c r="K189" s="11" t="s">
        <v>177</v>
      </c>
      <c r="L189" s="11" t="s">
        <v>177</v>
      </c>
      <c r="M189" s="11" t="s">
        <v>177</v>
      </c>
    </row>
    <row r="190" spans="1:13" ht="45" customHeight="1" x14ac:dyDescent="0.25">
      <c r="A190" s="11" t="s">
        <v>191</v>
      </c>
      <c r="B190" s="11" t="s">
        <v>177</v>
      </c>
      <c r="C190" s="11" t="s">
        <v>192</v>
      </c>
      <c r="D190" s="11" t="s">
        <v>87</v>
      </c>
      <c r="E190" s="11" t="s">
        <v>329</v>
      </c>
      <c r="F190" s="11" t="s">
        <v>214</v>
      </c>
      <c r="G190" s="11" t="s">
        <v>279</v>
      </c>
      <c r="H190" s="11" t="s">
        <v>182</v>
      </c>
      <c r="I190" s="11" t="s">
        <v>183</v>
      </c>
      <c r="J190" s="11" t="s">
        <v>184</v>
      </c>
      <c r="K190" s="11" t="s">
        <v>177</v>
      </c>
      <c r="L190" s="11" t="s">
        <v>177</v>
      </c>
      <c r="M190" s="11" t="s">
        <v>177</v>
      </c>
    </row>
    <row r="191" spans="1:13" ht="45" customHeight="1" x14ac:dyDescent="0.25">
      <c r="A191" s="11" t="s">
        <v>200</v>
      </c>
      <c r="B191" s="11" t="s">
        <v>177</v>
      </c>
      <c r="C191" s="11" t="s">
        <v>201</v>
      </c>
      <c r="D191" s="11" t="s">
        <v>87</v>
      </c>
      <c r="E191" s="11" t="s">
        <v>329</v>
      </c>
      <c r="F191" s="11" t="s">
        <v>331</v>
      </c>
      <c r="G191" s="11" t="s">
        <v>279</v>
      </c>
      <c r="H191" s="11" t="s">
        <v>182</v>
      </c>
      <c r="I191" s="11" t="s">
        <v>183</v>
      </c>
      <c r="J191" s="11" t="s">
        <v>184</v>
      </c>
      <c r="K191" s="11" t="s">
        <v>177</v>
      </c>
      <c r="L191" s="11" t="s">
        <v>177</v>
      </c>
      <c r="M191" s="11" t="s">
        <v>177</v>
      </c>
    </row>
    <row r="192" spans="1:13" ht="45" customHeight="1" x14ac:dyDescent="0.25">
      <c r="A192" s="11" t="s">
        <v>217</v>
      </c>
      <c r="B192" s="11" t="s">
        <v>177</v>
      </c>
      <c r="C192" s="11" t="s">
        <v>218</v>
      </c>
      <c r="D192" s="11" t="s">
        <v>87</v>
      </c>
      <c r="E192" s="11" t="s">
        <v>329</v>
      </c>
      <c r="F192" s="11" t="s">
        <v>331</v>
      </c>
      <c r="G192" s="11" t="s">
        <v>279</v>
      </c>
      <c r="H192" s="11" t="s">
        <v>182</v>
      </c>
      <c r="I192" s="11" t="s">
        <v>183</v>
      </c>
      <c r="J192" s="11" t="s">
        <v>184</v>
      </c>
      <c r="K192" s="11" t="s">
        <v>177</v>
      </c>
      <c r="L192" s="11" t="s">
        <v>177</v>
      </c>
      <c r="M192" s="11" t="s">
        <v>177</v>
      </c>
    </row>
    <row r="193" spans="1:13" ht="45" customHeight="1" x14ac:dyDescent="0.25">
      <c r="A193" s="11" t="s">
        <v>194</v>
      </c>
      <c r="B193" s="11" t="s">
        <v>177</v>
      </c>
      <c r="C193" s="11" t="s">
        <v>195</v>
      </c>
      <c r="D193" s="11" t="s">
        <v>87</v>
      </c>
      <c r="E193" s="11" t="s">
        <v>329</v>
      </c>
      <c r="F193" s="11" t="s">
        <v>332</v>
      </c>
      <c r="G193" s="11" t="s">
        <v>279</v>
      </c>
      <c r="H193" s="11" t="s">
        <v>182</v>
      </c>
      <c r="I193" s="11" t="s">
        <v>183</v>
      </c>
      <c r="J193" s="11" t="s">
        <v>184</v>
      </c>
      <c r="K193" s="11" t="s">
        <v>177</v>
      </c>
      <c r="L193" s="11" t="s">
        <v>177</v>
      </c>
      <c r="M193" s="11" t="s">
        <v>177</v>
      </c>
    </row>
    <row r="194" spans="1:13" ht="45" customHeight="1" x14ac:dyDescent="0.25">
      <c r="A194" s="11" t="s">
        <v>197</v>
      </c>
      <c r="B194" s="11" t="s">
        <v>177</v>
      </c>
      <c r="C194" s="11" t="s">
        <v>198</v>
      </c>
      <c r="D194" s="11" t="s">
        <v>87</v>
      </c>
      <c r="E194" s="11" t="s">
        <v>329</v>
      </c>
      <c r="F194" s="11" t="s">
        <v>333</v>
      </c>
      <c r="G194" s="11" t="s">
        <v>279</v>
      </c>
      <c r="H194" s="11" t="s">
        <v>182</v>
      </c>
      <c r="I194" s="11" t="s">
        <v>183</v>
      </c>
      <c r="J194" s="11" t="s">
        <v>184</v>
      </c>
      <c r="K194" s="11" t="s">
        <v>177</v>
      </c>
      <c r="L194" s="11" t="s">
        <v>177</v>
      </c>
      <c r="M194" s="11" t="s">
        <v>177</v>
      </c>
    </row>
    <row r="195" spans="1:13" ht="45" customHeight="1" x14ac:dyDescent="0.25">
      <c r="A195" s="11" t="s">
        <v>197</v>
      </c>
      <c r="B195" s="11" t="s">
        <v>177</v>
      </c>
      <c r="C195" s="11" t="s">
        <v>198</v>
      </c>
      <c r="D195" s="11" t="s">
        <v>87</v>
      </c>
      <c r="E195" s="11" t="s">
        <v>329</v>
      </c>
      <c r="F195" s="11" t="s">
        <v>222</v>
      </c>
      <c r="G195" s="11" t="s">
        <v>279</v>
      </c>
      <c r="H195" s="11" t="s">
        <v>182</v>
      </c>
      <c r="I195" s="11" t="s">
        <v>183</v>
      </c>
      <c r="J195" s="11" t="s">
        <v>184</v>
      </c>
      <c r="K195" s="11" t="s">
        <v>177</v>
      </c>
      <c r="L195" s="11" t="s">
        <v>177</v>
      </c>
      <c r="M195" s="11" t="s">
        <v>177</v>
      </c>
    </row>
    <row r="196" spans="1:13" ht="45" customHeight="1" x14ac:dyDescent="0.25">
      <c r="A196" s="11" t="s">
        <v>197</v>
      </c>
      <c r="B196" s="11" t="s">
        <v>177</v>
      </c>
      <c r="C196" s="11" t="s">
        <v>198</v>
      </c>
      <c r="D196" s="11" t="s">
        <v>87</v>
      </c>
      <c r="E196" s="11" t="s">
        <v>329</v>
      </c>
      <c r="F196" s="11" t="s">
        <v>291</v>
      </c>
      <c r="G196" s="11" t="s">
        <v>279</v>
      </c>
      <c r="H196" s="11" t="s">
        <v>182</v>
      </c>
      <c r="I196" s="11" t="s">
        <v>183</v>
      </c>
      <c r="J196" s="11" t="s">
        <v>184</v>
      </c>
      <c r="K196" s="11" t="s">
        <v>177</v>
      </c>
      <c r="L196" s="11" t="s">
        <v>177</v>
      </c>
      <c r="M196" s="11" t="s">
        <v>177</v>
      </c>
    </row>
    <row r="197" spans="1:13" ht="45" customHeight="1" x14ac:dyDescent="0.25">
      <c r="A197" s="11" t="s">
        <v>185</v>
      </c>
      <c r="B197" s="11" t="s">
        <v>177</v>
      </c>
      <c r="C197" s="11" t="s">
        <v>186</v>
      </c>
      <c r="D197" s="11" t="s">
        <v>87</v>
      </c>
      <c r="E197" s="11" t="s">
        <v>329</v>
      </c>
      <c r="F197" s="11" t="s">
        <v>334</v>
      </c>
      <c r="G197" s="11" t="s">
        <v>279</v>
      </c>
      <c r="H197" s="11" t="s">
        <v>182</v>
      </c>
      <c r="I197" s="11" t="s">
        <v>183</v>
      </c>
      <c r="J197" s="11" t="s">
        <v>184</v>
      </c>
      <c r="K197" s="11" t="s">
        <v>177</v>
      </c>
      <c r="L197" s="11" t="s">
        <v>177</v>
      </c>
      <c r="M197" s="11" t="s">
        <v>177</v>
      </c>
    </row>
    <row r="198" spans="1:13" ht="45" customHeight="1" x14ac:dyDescent="0.25">
      <c r="A198" s="11" t="s">
        <v>191</v>
      </c>
      <c r="B198" s="11" t="s">
        <v>177</v>
      </c>
      <c r="C198" s="11" t="s">
        <v>192</v>
      </c>
      <c r="D198" s="11" t="s">
        <v>87</v>
      </c>
      <c r="E198" s="11" t="s">
        <v>329</v>
      </c>
      <c r="F198" s="11" t="s">
        <v>335</v>
      </c>
      <c r="G198" s="11" t="s">
        <v>279</v>
      </c>
      <c r="H198" s="11" t="s">
        <v>182</v>
      </c>
      <c r="I198" s="11" t="s">
        <v>183</v>
      </c>
      <c r="J198" s="11" t="s">
        <v>184</v>
      </c>
      <c r="K198" s="11" t="s">
        <v>177</v>
      </c>
      <c r="L198" s="11" t="s">
        <v>177</v>
      </c>
      <c r="M198" s="11" t="s">
        <v>177</v>
      </c>
    </row>
    <row r="199" spans="1:13" ht="45" customHeight="1" x14ac:dyDescent="0.25">
      <c r="A199" s="11" t="s">
        <v>200</v>
      </c>
      <c r="B199" s="11" t="s">
        <v>177</v>
      </c>
      <c r="C199" s="11" t="s">
        <v>201</v>
      </c>
      <c r="D199" s="11" t="s">
        <v>87</v>
      </c>
      <c r="E199" s="11" t="s">
        <v>329</v>
      </c>
      <c r="F199" s="11" t="s">
        <v>271</v>
      </c>
      <c r="G199" s="11" t="s">
        <v>279</v>
      </c>
      <c r="H199" s="11" t="s">
        <v>182</v>
      </c>
      <c r="I199" s="11" t="s">
        <v>183</v>
      </c>
      <c r="J199" s="11" t="s">
        <v>184</v>
      </c>
      <c r="K199" s="11" t="s">
        <v>177</v>
      </c>
      <c r="L199" s="11" t="s">
        <v>177</v>
      </c>
      <c r="M199" s="11" t="s">
        <v>177</v>
      </c>
    </row>
    <row r="200" spans="1:13" ht="45" customHeight="1" x14ac:dyDescent="0.25">
      <c r="A200" s="11" t="s">
        <v>176</v>
      </c>
      <c r="B200" s="11" t="s">
        <v>177</v>
      </c>
      <c r="C200" s="11" t="s">
        <v>178</v>
      </c>
      <c r="D200" s="11" t="s">
        <v>87</v>
      </c>
      <c r="E200" s="11" t="s">
        <v>329</v>
      </c>
      <c r="F200" s="11" t="s">
        <v>336</v>
      </c>
      <c r="G200" s="11" t="s">
        <v>279</v>
      </c>
      <c r="H200" s="11" t="s">
        <v>182</v>
      </c>
      <c r="I200" s="11" t="s">
        <v>183</v>
      </c>
      <c r="J200" s="11" t="s">
        <v>184</v>
      </c>
      <c r="K200" s="11" t="s">
        <v>177</v>
      </c>
      <c r="L200" s="11" t="s">
        <v>177</v>
      </c>
      <c r="M200" s="11" t="s">
        <v>177</v>
      </c>
    </row>
    <row r="201" spans="1:13" ht="45" customHeight="1" x14ac:dyDescent="0.25">
      <c r="A201" s="11" t="s">
        <v>197</v>
      </c>
      <c r="B201" s="11" t="s">
        <v>177</v>
      </c>
      <c r="C201" s="11" t="s">
        <v>198</v>
      </c>
      <c r="D201" s="11" t="s">
        <v>87</v>
      </c>
      <c r="E201" s="11" t="s">
        <v>329</v>
      </c>
      <c r="F201" s="11" t="s">
        <v>258</v>
      </c>
      <c r="G201" s="11" t="s">
        <v>279</v>
      </c>
      <c r="H201" s="11" t="s">
        <v>182</v>
      </c>
      <c r="I201" s="11" t="s">
        <v>183</v>
      </c>
      <c r="J201" s="11" t="s">
        <v>184</v>
      </c>
      <c r="K201" s="11" t="s">
        <v>177</v>
      </c>
      <c r="L201" s="11" t="s">
        <v>177</v>
      </c>
      <c r="M201" s="11" t="s">
        <v>177</v>
      </c>
    </row>
    <row r="202" spans="1:13" ht="45" customHeight="1" x14ac:dyDescent="0.25">
      <c r="A202" s="11" t="s">
        <v>194</v>
      </c>
      <c r="B202" s="11" t="s">
        <v>177</v>
      </c>
      <c r="C202" s="11" t="s">
        <v>195</v>
      </c>
      <c r="D202" s="11" t="s">
        <v>87</v>
      </c>
      <c r="E202" s="11" t="s">
        <v>329</v>
      </c>
      <c r="F202" s="11" t="s">
        <v>309</v>
      </c>
      <c r="G202" s="11" t="s">
        <v>279</v>
      </c>
      <c r="H202" s="11" t="s">
        <v>182</v>
      </c>
      <c r="I202" s="11" t="s">
        <v>183</v>
      </c>
      <c r="J202" s="11" t="s">
        <v>184</v>
      </c>
      <c r="K202" s="11" t="s">
        <v>177</v>
      </c>
      <c r="L202" s="11" t="s">
        <v>177</v>
      </c>
      <c r="M202" s="11" t="s">
        <v>177</v>
      </c>
    </row>
    <row r="203" spans="1:13" ht="45" customHeight="1" x14ac:dyDescent="0.25">
      <c r="A203" s="11" t="s">
        <v>176</v>
      </c>
      <c r="B203" s="11" t="s">
        <v>177</v>
      </c>
      <c r="C203" s="11" t="s">
        <v>178</v>
      </c>
      <c r="D203" s="11" t="s">
        <v>87</v>
      </c>
      <c r="E203" s="11" t="s">
        <v>337</v>
      </c>
      <c r="F203" s="11" t="s">
        <v>338</v>
      </c>
      <c r="G203" s="11" t="s">
        <v>181</v>
      </c>
      <c r="H203" s="11" t="s">
        <v>182</v>
      </c>
      <c r="I203" s="11" t="s">
        <v>183</v>
      </c>
      <c r="J203" s="11" t="s">
        <v>184</v>
      </c>
      <c r="K203" s="11" t="s">
        <v>177</v>
      </c>
      <c r="L203" s="11" t="s">
        <v>177</v>
      </c>
      <c r="M203" s="11" t="s">
        <v>177</v>
      </c>
    </row>
    <row r="204" spans="1:13" ht="45" customHeight="1" x14ac:dyDescent="0.25">
      <c r="A204" s="11" t="s">
        <v>185</v>
      </c>
      <c r="B204" s="11" t="s">
        <v>177</v>
      </c>
      <c r="C204" s="11" t="s">
        <v>186</v>
      </c>
      <c r="D204" s="11" t="s">
        <v>87</v>
      </c>
      <c r="E204" s="11" t="s">
        <v>337</v>
      </c>
      <c r="F204" s="11" t="s">
        <v>339</v>
      </c>
      <c r="G204" s="11" t="s">
        <v>181</v>
      </c>
      <c r="H204" s="11" t="s">
        <v>182</v>
      </c>
      <c r="I204" s="11" t="s">
        <v>183</v>
      </c>
      <c r="J204" s="11" t="s">
        <v>184</v>
      </c>
      <c r="K204" s="11" t="s">
        <v>177</v>
      </c>
      <c r="L204" s="11" t="s">
        <v>177</v>
      </c>
      <c r="M204" s="11" t="s">
        <v>177</v>
      </c>
    </row>
    <row r="205" spans="1:13" ht="45" customHeight="1" x14ac:dyDescent="0.25">
      <c r="A205" s="11" t="s">
        <v>191</v>
      </c>
      <c r="B205" s="11" t="s">
        <v>177</v>
      </c>
      <c r="C205" s="11" t="s">
        <v>192</v>
      </c>
      <c r="D205" s="11" t="s">
        <v>87</v>
      </c>
      <c r="E205" s="11" t="s">
        <v>337</v>
      </c>
      <c r="F205" s="11" t="s">
        <v>340</v>
      </c>
      <c r="G205" s="11" t="s">
        <v>181</v>
      </c>
      <c r="H205" s="11" t="s">
        <v>182</v>
      </c>
      <c r="I205" s="11" t="s">
        <v>183</v>
      </c>
      <c r="J205" s="11" t="s">
        <v>184</v>
      </c>
      <c r="K205" s="11" t="s">
        <v>177</v>
      </c>
      <c r="L205" s="11" t="s">
        <v>177</v>
      </c>
      <c r="M205" s="11" t="s">
        <v>177</v>
      </c>
    </row>
    <row r="206" spans="1:13" ht="45" customHeight="1" x14ac:dyDescent="0.25">
      <c r="A206" s="11" t="s">
        <v>312</v>
      </c>
      <c r="B206" s="11" t="s">
        <v>177</v>
      </c>
      <c r="C206" s="11" t="s">
        <v>313</v>
      </c>
      <c r="D206" s="11" t="s">
        <v>87</v>
      </c>
      <c r="E206" s="11" t="s">
        <v>337</v>
      </c>
      <c r="F206" s="11" t="s">
        <v>216</v>
      </c>
      <c r="G206" s="11" t="s">
        <v>181</v>
      </c>
      <c r="H206" s="11" t="s">
        <v>182</v>
      </c>
      <c r="I206" s="11" t="s">
        <v>183</v>
      </c>
      <c r="J206" s="11" t="s">
        <v>184</v>
      </c>
      <c r="K206" s="11" t="s">
        <v>177</v>
      </c>
      <c r="L206" s="11" t="s">
        <v>177</v>
      </c>
      <c r="M206" s="11" t="s">
        <v>177</v>
      </c>
    </row>
    <row r="207" spans="1:13" ht="45" customHeight="1" x14ac:dyDescent="0.25">
      <c r="A207" s="11" t="s">
        <v>217</v>
      </c>
      <c r="B207" s="11" t="s">
        <v>177</v>
      </c>
      <c r="C207" s="11" t="s">
        <v>218</v>
      </c>
      <c r="D207" s="11" t="s">
        <v>87</v>
      </c>
      <c r="E207" s="11" t="s">
        <v>337</v>
      </c>
      <c r="F207" s="11" t="s">
        <v>341</v>
      </c>
      <c r="G207" s="11" t="s">
        <v>181</v>
      </c>
      <c r="H207" s="11" t="s">
        <v>182</v>
      </c>
      <c r="I207" s="11" t="s">
        <v>183</v>
      </c>
      <c r="J207" s="11" t="s">
        <v>184</v>
      </c>
      <c r="K207" s="11" t="s">
        <v>177</v>
      </c>
      <c r="L207" s="11" t="s">
        <v>177</v>
      </c>
      <c r="M207" s="11" t="s">
        <v>177</v>
      </c>
    </row>
    <row r="208" spans="1:13" ht="45" customHeight="1" x14ac:dyDescent="0.25">
      <c r="A208" s="11" t="s">
        <v>200</v>
      </c>
      <c r="B208" s="11" t="s">
        <v>177</v>
      </c>
      <c r="C208" s="11" t="s">
        <v>201</v>
      </c>
      <c r="D208" s="11" t="s">
        <v>87</v>
      </c>
      <c r="E208" s="11" t="s">
        <v>337</v>
      </c>
      <c r="F208" s="11" t="s">
        <v>341</v>
      </c>
      <c r="G208" s="11" t="s">
        <v>181</v>
      </c>
      <c r="H208" s="11" t="s">
        <v>182</v>
      </c>
      <c r="I208" s="11" t="s">
        <v>183</v>
      </c>
      <c r="J208" s="11" t="s">
        <v>184</v>
      </c>
      <c r="K208" s="11" t="s">
        <v>177</v>
      </c>
      <c r="L208" s="11" t="s">
        <v>177</v>
      </c>
      <c r="M208" s="11" t="s">
        <v>177</v>
      </c>
    </row>
    <row r="209" spans="1:13" ht="45" customHeight="1" x14ac:dyDescent="0.25">
      <c r="A209" s="11" t="s">
        <v>197</v>
      </c>
      <c r="B209" s="11" t="s">
        <v>177</v>
      </c>
      <c r="C209" s="11" t="s">
        <v>198</v>
      </c>
      <c r="D209" s="11" t="s">
        <v>87</v>
      </c>
      <c r="E209" s="11" t="s">
        <v>337</v>
      </c>
      <c r="F209" s="11" t="s">
        <v>342</v>
      </c>
      <c r="G209" s="11" t="s">
        <v>181</v>
      </c>
      <c r="H209" s="11" t="s">
        <v>182</v>
      </c>
      <c r="I209" s="11" t="s">
        <v>183</v>
      </c>
      <c r="J209" s="11" t="s">
        <v>184</v>
      </c>
      <c r="K209" s="11" t="s">
        <v>177</v>
      </c>
      <c r="L209" s="11" t="s">
        <v>177</v>
      </c>
      <c r="M209" s="11" t="s">
        <v>177</v>
      </c>
    </row>
    <row r="210" spans="1:13" ht="45" customHeight="1" x14ac:dyDescent="0.25">
      <c r="A210" s="11" t="s">
        <v>194</v>
      </c>
      <c r="B210" s="11" t="s">
        <v>177</v>
      </c>
      <c r="C210" s="11" t="s">
        <v>195</v>
      </c>
      <c r="D210" s="11" t="s">
        <v>87</v>
      </c>
      <c r="E210" s="11" t="s">
        <v>337</v>
      </c>
      <c r="F210" s="11" t="s">
        <v>220</v>
      </c>
      <c r="G210" s="11" t="s">
        <v>181</v>
      </c>
      <c r="H210" s="11" t="s">
        <v>182</v>
      </c>
      <c r="I210" s="11" t="s">
        <v>183</v>
      </c>
      <c r="J210" s="11" t="s">
        <v>184</v>
      </c>
      <c r="K210" s="11" t="s">
        <v>177</v>
      </c>
      <c r="L210" s="11" t="s">
        <v>177</v>
      </c>
      <c r="M210" s="11" t="s">
        <v>177</v>
      </c>
    </row>
    <row r="211" spans="1:13" ht="45" customHeight="1" x14ac:dyDescent="0.25">
      <c r="A211" s="11" t="s">
        <v>194</v>
      </c>
      <c r="B211" s="11" t="s">
        <v>177</v>
      </c>
      <c r="C211" s="11" t="s">
        <v>195</v>
      </c>
      <c r="D211" s="11" t="s">
        <v>87</v>
      </c>
      <c r="E211" s="11" t="s">
        <v>337</v>
      </c>
      <c r="F211" s="11" t="s">
        <v>343</v>
      </c>
      <c r="G211" s="11" t="s">
        <v>181</v>
      </c>
      <c r="H211" s="11" t="s">
        <v>182</v>
      </c>
      <c r="I211" s="11" t="s">
        <v>183</v>
      </c>
      <c r="J211" s="11" t="s">
        <v>184</v>
      </c>
      <c r="K211" s="11" t="s">
        <v>177</v>
      </c>
      <c r="L211" s="11" t="s">
        <v>177</v>
      </c>
      <c r="M211" s="11" t="s">
        <v>177</v>
      </c>
    </row>
    <row r="212" spans="1:13" ht="45" customHeight="1" x14ac:dyDescent="0.25">
      <c r="A212" s="11" t="s">
        <v>191</v>
      </c>
      <c r="B212" s="11" t="s">
        <v>177</v>
      </c>
      <c r="C212" s="11" t="s">
        <v>192</v>
      </c>
      <c r="D212" s="11" t="s">
        <v>87</v>
      </c>
      <c r="E212" s="11" t="s">
        <v>337</v>
      </c>
      <c r="F212" s="11" t="s">
        <v>344</v>
      </c>
      <c r="G212" s="11" t="s">
        <v>181</v>
      </c>
      <c r="H212" s="11" t="s">
        <v>182</v>
      </c>
      <c r="I212" s="11" t="s">
        <v>183</v>
      </c>
      <c r="J212" s="11" t="s">
        <v>184</v>
      </c>
      <c r="K212" s="11" t="s">
        <v>177</v>
      </c>
      <c r="L212" s="11" t="s">
        <v>177</v>
      </c>
      <c r="M212" s="11" t="s">
        <v>177</v>
      </c>
    </row>
    <row r="213" spans="1:13" ht="45" customHeight="1" x14ac:dyDescent="0.25">
      <c r="A213" s="11" t="s">
        <v>185</v>
      </c>
      <c r="B213" s="11" t="s">
        <v>177</v>
      </c>
      <c r="C213" s="11" t="s">
        <v>186</v>
      </c>
      <c r="D213" s="11" t="s">
        <v>87</v>
      </c>
      <c r="E213" s="11" t="s">
        <v>337</v>
      </c>
      <c r="F213" s="11" t="s">
        <v>345</v>
      </c>
      <c r="G213" s="11" t="s">
        <v>181</v>
      </c>
      <c r="H213" s="11" t="s">
        <v>182</v>
      </c>
      <c r="I213" s="11" t="s">
        <v>183</v>
      </c>
      <c r="J213" s="11" t="s">
        <v>184</v>
      </c>
      <c r="K213" s="11" t="s">
        <v>177</v>
      </c>
      <c r="L213" s="11" t="s">
        <v>177</v>
      </c>
      <c r="M213" s="11" t="s">
        <v>177</v>
      </c>
    </row>
    <row r="214" spans="1:13" ht="45" customHeight="1" x14ac:dyDescent="0.25">
      <c r="A214" s="11" t="s">
        <v>176</v>
      </c>
      <c r="B214" s="11" t="s">
        <v>177</v>
      </c>
      <c r="C214" s="11" t="s">
        <v>178</v>
      </c>
      <c r="D214" s="11" t="s">
        <v>87</v>
      </c>
      <c r="E214" s="11" t="s">
        <v>337</v>
      </c>
      <c r="F214" s="11" t="s">
        <v>346</v>
      </c>
      <c r="G214" s="11" t="s">
        <v>181</v>
      </c>
      <c r="H214" s="11" t="s">
        <v>182</v>
      </c>
      <c r="I214" s="11" t="s">
        <v>183</v>
      </c>
      <c r="J214" s="11" t="s">
        <v>184</v>
      </c>
      <c r="K214" s="11" t="s">
        <v>177</v>
      </c>
      <c r="L214" s="11" t="s">
        <v>177</v>
      </c>
      <c r="M214" s="11" t="s">
        <v>177</v>
      </c>
    </row>
    <row r="215" spans="1:13" ht="45" customHeight="1" x14ac:dyDescent="0.25">
      <c r="A215" s="11" t="s">
        <v>194</v>
      </c>
      <c r="B215" s="11" t="s">
        <v>177</v>
      </c>
      <c r="C215" s="11" t="s">
        <v>195</v>
      </c>
      <c r="D215" s="11" t="s">
        <v>87</v>
      </c>
      <c r="E215" s="11" t="s">
        <v>337</v>
      </c>
      <c r="F215" s="11" t="s">
        <v>209</v>
      </c>
      <c r="G215" s="11" t="s">
        <v>181</v>
      </c>
      <c r="H215" s="11" t="s">
        <v>182</v>
      </c>
      <c r="I215" s="11" t="s">
        <v>183</v>
      </c>
      <c r="J215" s="11" t="s">
        <v>184</v>
      </c>
      <c r="K215" s="11" t="s">
        <v>177</v>
      </c>
      <c r="L215" s="11" t="s">
        <v>177</v>
      </c>
      <c r="M215" s="11" t="s">
        <v>177</v>
      </c>
    </row>
    <row r="216" spans="1:13" ht="45" customHeight="1" x14ac:dyDescent="0.25">
      <c r="A216" s="11" t="s">
        <v>197</v>
      </c>
      <c r="B216" s="11" t="s">
        <v>177</v>
      </c>
      <c r="C216" s="11" t="s">
        <v>198</v>
      </c>
      <c r="D216" s="11" t="s">
        <v>87</v>
      </c>
      <c r="E216" s="11" t="s">
        <v>337</v>
      </c>
      <c r="F216" s="11" t="s">
        <v>347</v>
      </c>
      <c r="G216" s="11" t="s">
        <v>181</v>
      </c>
      <c r="H216" s="11" t="s">
        <v>182</v>
      </c>
      <c r="I216" s="11" t="s">
        <v>183</v>
      </c>
      <c r="J216" s="11" t="s">
        <v>184</v>
      </c>
      <c r="K216" s="11" t="s">
        <v>177</v>
      </c>
      <c r="L216" s="11" t="s">
        <v>177</v>
      </c>
      <c r="M216" s="11" t="s">
        <v>177</v>
      </c>
    </row>
    <row r="217" spans="1:13" ht="45" customHeight="1" x14ac:dyDescent="0.25">
      <c r="A217" s="11" t="s">
        <v>176</v>
      </c>
      <c r="B217" s="11" t="s">
        <v>177</v>
      </c>
      <c r="C217" s="11" t="s">
        <v>178</v>
      </c>
      <c r="D217" s="11" t="s">
        <v>87</v>
      </c>
      <c r="E217" s="11" t="s">
        <v>348</v>
      </c>
      <c r="F217" s="11" t="s">
        <v>330</v>
      </c>
      <c r="G217" s="11" t="s">
        <v>212</v>
      </c>
      <c r="H217" s="11" t="s">
        <v>182</v>
      </c>
      <c r="I217" s="11" t="s">
        <v>183</v>
      </c>
      <c r="J217" s="11" t="s">
        <v>184</v>
      </c>
      <c r="K217" s="11" t="s">
        <v>177</v>
      </c>
      <c r="L217" s="11" t="s">
        <v>177</v>
      </c>
      <c r="M217" s="11" t="s">
        <v>177</v>
      </c>
    </row>
    <row r="218" spans="1:13" ht="45" customHeight="1" x14ac:dyDescent="0.25">
      <c r="A218" s="11" t="s">
        <v>185</v>
      </c>
      <c r="B218" s="11" t="s">
        <v>177</v>
      </c>
      <c r="C218" s="11" t="s">
        <v>186</v>
      </c>
      <c r="D218" s="11" t="s">
        <v>87</v>
      </c>
      <c r="E218" s="11" t="s">
        <v>348</v>
      </c>
      <c r="F218" s="11" t="s">
        <v>349</v>
      </c>
      <c r="G218" s="11" t="s">
        <v>212</v>
      </c>
      <c r="H218" s="11" t="s">
        <v>182</v>
      </c>
      <c r="I218" s="11" t="s">
        <v>183</v>
      </c>
      <c r="J218" s="11" t="s">
        <v>184</v>
      </c>
      <c r="K218" s="11" t="s">
        <v>177</v>
      </c>
      <c r="L218" s="11" t="s">
        <v>177</v>
      </c>
      <c r="M218" s="11" t="s">
        <v>177</v>
      </c>
    </row>
    <row r="219" spans="1:13" ht="45" customHeight="1" x14ac:dyDescent="0.25">
      <c r="A219" s="11" t="s">
        <v>217</v>
      </c>
      <c r="B219" s="11" t="s">
        <v>177</v>
      </c>
      <c r="C219" s="11" t="s">
        <v>218</v>
      </c>
      <c r="D219" s="11" t="s">
        <v>87</v>
      </c>
      <c r="E219" s="11" t="s">
        <v>348</v>
      </c>
      <c r="F219" s="11" t="s">
        <v>215</v>
      </c>
      <c r="G219" s="11" t="s">
        <v>212</v>
      </c>
      <c r="H219" s="11" t="s">
        <v>182</v>
      </c>
      <c r="I219" s="11" t="s">
        <v>183</v>
      </c>
      <c r="J219" s="11" t="s">
        <v>184</v>
      </c>
      <c r="K219" s="11" t="s">
        <v>177</v>
      </c>
      <c r="L219" s="11" t="s">
        <v>177</v>
      </c>
      <c r="M219" s="11" t="s">
        <v>177</v>
      </c>
    </row>
    <row r="220" spans="1:13" ht="45" customHeight="1" x14ac:dyDescent="0.25">
      <c r="A220" s="11" t="s">
        <v>200</v>
      </c>
      <c r="B220" s="11" t="s">
        <v>177</v>
      </c>
      <c r="C220" s="11" t="s">
        <v>201</v>
      </c>
      <c r="D220" s="11" t="s">
        <v>87</v>
      </c>
      <c r="E220" s="11" t="s">
        <v>348</v>
      </c>
      <c r="F220" s="11" t="s">
        <v>282</v>
      </c>
      <c r="G220" s="11" t="s">
        <v>212</v>
      </c>
      <c r="H220" s="11" t="s">
        <v>182</v>
      </c>
      <c r="I220" s="11" t="s">
        <v>183</v>
      </c>
      <c r="J220" s="11" t="s">
        <v>184</v>
      </c>
      <c r="K220" s="11" t="s">
        <v>177</v>
      </c>
      <c r="L220" s="11" t="s">
        <v>177</v>
      </c>
      <c r="M220" s="11" t="s">
        <v>177</v>
      </c>
    </row>
    <row r="221" spans="1:13" ht="45" customHeight="1" x14ac:dyDescent="0.25">
      <c r="A221" s="11" t="s">
        <v>194</v>
      </c>
      <c r="B221" s="11" t="s">
        <v>177</v>
      </c>
      <c r="C221" s="11" t="s">
        <v>195</v>
      </c>
      <c r="D221" s="11" t="s">
        <v>87</v>
      </c>
      <c r="E221" s="11" t="s">
        <v>348</v>
      </c>
      <c r="F221" s="11" t="s">
        <v>342</v>
      </c>
      <c r="G221" s="11" t="s">
        <v>212</v>
      </c>
      <c r="H221" s="11" t="s">
        <v>182</v>
      </c>
      <c r="I221" s="11" t="s">
        <v>183</v>
      </c>
      <c r="J221" s="11" t="s">
        <v>184</v>
      </c>
      <c r="K221" s="11" t="s">
        <v>177</v>
      </c>
      <c r="L221" s="11" t="s">
        <v>177</v>
      </c>
      <c r="M221" s="11" t="s">
        <v>177</v>
      </c>
    </row>
    <row r="222" spans="1:13" ht="45" customHeight="1" x14ac:dyDescent="0.25">
      <c r="A222" s="11" t="s">
        <v>197</v>
      </c>
      <c r="B222" s="11" t="s">
        <v>177</v>
      </c>
      <c r="C222" s="11" t="s">
        <v>198</v>
      </c>
      <c r="D222" s="11" t="s">
        <v>87</v>
      </c>
      <c r="E222" s="11" t="s">
        <v>348</v>
      </c>
      <c r="F222" s="11" t="s">
        <v>220</v>
      </c>
      <c r="G222" s="11" t="s">
        <v>212</v>
      </c>
      <c r="H222" s="11" t="s">
        <v>182</v>
      </c>
      <c r="I222" s="11" t="s">
        <v>183</v>
      </c>
      <c r="J222" s="11" t="s">
        <v>184</v>
      </c>
      <c r="K222" s="11" t="s">
        <v>177</v>
      </c>
      <c r="L222" s="11" t="s">
        <v>177</v>
      </c>
      <c r="M222" s="11" t="s">
        <v>177</v>
      </c>
    </row>
    <row r="223" spans="1:13" ht="45" customHeight="1" x14ac:dyDescent="0.25">
      <c r="A223" s="11" t="s">
        <v>191</v>
      </c>
      <c r="B223" s="11" t="s">
        <v>177</v>
      </c>
      <c r="C223" s="11" t="s">
        <v>192</v>
      </c>
      <c r="D223" s="11" t="s">
        <v>87</v>
      </c>
      <c r="E223" s="11" t="s">
        <v>348</v>
      </c>
      <c r="F223" s="11" t="s">
        <v>350</v>
      </c>
      <c r="G223" s="11" t="s">
        <v>212</v>
      </c>
      <c r="H223" s="11" t="s">
        <v>182</v>
      </c>
      <c r="I223" s="11" t="s">
        <v>183</v>
      </c>
      <c r="J223" s="11" t="s">
        <v>184</v>
      </c>
      <c r="K223" s="11" t="s">
        <v>177</v>
      </c>
      <c r="L223" s="11" t="s">
        <v>177</v>
      </c>
      <c r="M223" s="11" t="s">
        <v>177</v>
      </c>
    </row>
    <row r="224" spans="1:13" ht="45" customHeight="1" x14ac:dyDescent="0.25">
      <c r="A224" s="11" t="s">
        <v>194</v>
      </c>
      <c r="B224" s="11" t="s">
        <v>177</v>
      </c>
      <c r="C224" s="11" t="s">
        <v>195</v>
      </c>
      <c r="D224" s="11" t="s">
        <v>87</v>
      </c>
      <c r="E224" s="11" t="s">
        <v>348</v>
      </c>
      <c r="F224" s="11" t="s">
        <v>305</v>
      </c>
      <c r="G224" s="11" t="s">
        <v>212</v>
      </c>
      <c r="H224" s="11" t="s">
        <v>182</v>
      </c>
      <c r="I224" s="11" t="s">
        <v>183</v>
      </c>
      <c r="J224" s="11" t="s">
        <v>184</v>
      </c>
      <c r="K224" s="11" t="s">
        <v>177</v>
      </c>
      <c r="L224" s="11" t="s">
        <v>177</v>
      </c>
      <c r="M224" s="11" t="s">
        <v>177</v>
      </c>
    </row>
    <row r="225" spans="1:13" ht="45" customHeight="1" x14ac:dyDescent="0.25">
      <c r="A225" s="11" t="s">
        <v>197</v>
      </c>
      <c r="B225" s="11" t="s">
        <v>177</v>
      </c>
      <c r="C225" s="11" t="s">
        <v>198</v>
      </c>
      <c r="D225" s="11" t="s">
        <v>87</v>
      </c>
      <c r="E225" s="11" t="s">
        <v>348</v>
      </c>
      <c r="F225" s="11" t="s">
        <v>351</v>
      </c>
      <c r="G225" s="11" t="s">
        <v>212</v>
      </c>
      <c r="H225" s="11" t="s">
        <v>182</v>
      </c>
      <c r="I225" s="11" t="s">
        <v>183</v>
      </c>
      <c r="J225" s="11" t="s">
        <v>184</v>
      </c>
      <c r="K225" s="11" t="s">
        <v>177</v>
      </c>
      <c r="L225" s="11" t="s">
        <v>177</v>
      </c>
      <c r="M225" s="11" t="s">
        <v>177</v>
      </c>
    </row>
    <row r="226" spans="1:13" ht="45" customHeight="1" x14ac:dyDescent="0.25">
      <c r="A226" s="11" t="s">
        <v>194</v>
      </c>
      <c r="B226" s="11" t="s">
        <v>177</v>
      </c>
      <c r="C226" s="11" t="s">
        <v>195</v>
      </c>
      <c r="D226" s="11" t="s">
        <v>87</v>
      </c>
      <c r="E226" s="11" t="s">
        <v>348</v>
      </c>
      <c r="F226" s="11" t="s">
        <v>352</v>
      </c>
      <c r="G226" s="11" t="s">
        <v>212</v>
      </c>
      <c r="H226" s="11" t="s">
        <v>182</v>
      </c>
      <c r="I226" s="11" t="s">
        <v>183</v>
      </c>
      <c r="J226" s="11" t="s">
        <v>184</v>
      </c>
      <c r="K226" s="11" t="s">
        <v>177</v>
      </c>
      <c r="L226" s="11" t="s">
        <v>177</v>
      </c>
      <c r="M226" s="11" t="s">
        <v>177</v>
      </c>
    </row>
    <row r="227" spans="1:13" ht="45" customHeight="1" x14ac:dyDescent="0.25">
      <c r="A227" s="11" t="s">
        <v>197</v>
      </c>
      <c r="B227" s="11" t="s">
        <v>177</v>
      </c>
      <c r="C227" s="11" t="s">
        <v>198</v>
      </c>
      <c r="D227" s="11" t="s">
        <v>87</v>
      </c>
      <c r="E227" s="11" t="s">
        <v>348</v>
      </c>
      <c r="F227" s="11" t="s">
        <v>224</v>
      </c>
      <c r="G227" s="11" t="s">
        <v>212</v>
      </c>
      <c r="H227" s="11" t="s">
        <v>182</v>
      </c>
      <c r="I227" s="11" t="s">
        <v>183</v>
      </c>
      <c r="J227" s="11" t="s">
        <v>184</v>
      </c>
      <c r="K227" s="11" t="s">
        <v>177</v>
      </c>
      <c r="L227" s="11" t="s">
        <v>177</v>
      </c>
      <c r="M227" s="11" t="s">
        <v>177</v>
      </c>
    </row>
    <row r="228" spans="1:13" ht="45" customHeight="1" x14ac:dyDescent="0.25">
      <c r="A228" s="11" t="s">
        <v>185</v>
      </c>
      <c r="B228" s="11" t="s">
        <v>177</v>
      </c>
      <c r="C228" s="11" t="s">
        <v>186</v>
      </c>
      <c r="D228" s="11" t="s">
        <v>87</v>
      </c>
      <c r="E228" s="11" t="s">
        <v>348</v>
      </c>
      <c r="F228" s="11" t="s">
        <v>285</v>
      </c>
      <c r="G228" s="11" t="s">
        <v>212</v>
      </c>
      <c r="H228" s="11" t="s">
        <v>182</v>
      </c>
      <c r="I228" s="11" t="s">
        <v>183</v>
      </c>
      <c r="J228" s="11" t="s">
        <v>184</v>
      </c>
      <c r="K228" s="11" t="s">
        <v>177</v>
      </c>
      <c r="L228" s="11" t="s">
        <v>177</v>
      </c>
      <c r="M228" s="11" t="s">
        <v>177</v>
      </c>
    </row>
    <row r="229" spans="1:13" ht="45" customHeight="1" x14ac:dyDescent="0.25">
      <c r="A229" s="11" t="s">
        <v>176</v>
      </c>
      <c r="B229" s="11" t="s">
        <v>177</v>
      </c>
      <c r="C229" s="11" t="s">
        <v>178</v>
      </c>
      <c r="D229" s="11" t="s">
        <v>87</v>
      </c>
      <c r="E229" s="11" t="s">
        <v>348</v>
      </c>
      <c r="F229" s="11" t="s">
        <v>285</v>
      </c>
      <c r="G229" s="11" t="s">
        <v>212</v>
      </c>
      <c r="H229" s="11" t="s">
        <v>182</v>
      </c>
      <c r="I229" s="11" t="s">
        <v>183</v>
      </c>
      <c r="J229" s="11" t="s">
        <v>184</v>
      </c>
      <c r="K229" s="11" t="s">
        <v>177</v>
      </c>
      <c r="L229" s="11" t="s">
        <v>177</v>
      </c>
      <c r="M229" s="11" t="s">
        <v>177</v>
      </c>
    </row>
    <row r="230" spans="1:13" ht="45" customHeight="1" x14ac:dyDescent="0.25">
      <c r="A230" s="11" t="s">
        <v>191</v>
      </c>
      <c r="B230" s="11" t="s">
        <v>177</v>
      </c>
      <c r="C230" s="11" t="s">
        <v>192</v>
      </c>
      <c r="D230" s="11" t="s">
        <v>87</v>
      </c>
      <c r="E230" s="11" t="s">
        <v>348</v>
      </c>
      <c r="F230" s="11" t="s">
        <v>206</v>
      </c>
      <c r="G230" s="11" t="s">
        <v>212</v>
      </c>
      <c r="H230" s="11" t="s">
        <v>182</v>
      </c>
      <c r="I230" s="11" t="s">
        <v>183</v>
      </c>
      <c r="J230" s="11" t="s">
        <v>184</v>
      </c>
      <c r="K230" s="11" t="s">
        <v>177</v>
      </c>
      <c r="L230" s="11" t="s">
        <v>177</v>
      </c>
      <c r="M230" s="11" t="s">
        <v>177</v>
      </c>
    </row>
    <row r="231" spans="1:13" ht="45" customHeight="1" x14ac:dyDescent="0.25">
      <c r="A231" s="11" t="s">
        <v>217</v>
      </c>
      <c r="B231" s="11" t="s">
        <v>177</v>
      </c>
      <c r="C231" s="11" t="s">
        <v>218</v>
      </c>
      <c r="D231" s="11" t="s">
        <v>87</v>
      </c>
      <c r="E231" s="11" t="s">
        <v>348</v>
      </c>
      <c r="F231" s="11" t="s">
        <v>353</v>
      </c>
      <c r="G231" s="11" t="s">
        <v>212</v>
      </c>
      <c r="H231" s="11" t="s">
        <v>182</v>
      </c>
      <c r="I231" s="11" t="s">
        <v>183</v>
      </c>
      <c r="J231" s="11" t="s">
        <v>184</v>
      </c>
      <c r="K231" s="11" t="s">
        <v>177</v>
      </c>
      <c r="L231" s="11" t="s">
        <v>177</v>
      </c>
      <c r="M231" s="11" t="s">
        <v>177</v>
      </c>
    </row>
    <row r="232" spans="1:13" ht="45" customHeight="1" x14ac:dyDescent="0.25">
      <c r="A232" s="11" t="s">
        <v>200</v>
      </c>
      <c r="B232" s="11" t="s">
        <v>177</v>
      </c>
      <c r="C232" s="11" t="s">
        <v>201</v>
      </c>
      <c r="D232" s="11" t="s">
        <v>87</v>
      </c>
      <c r="E232" s="11" t="s">
        <v>348</v>
      </c>
      <c r="F232" s="11" t="s">
        <v>354</v>
      </c>
      <c r="G232" s="11" t="s">
        <v>212</v>
      </c>
      <c r="H232" s="11" t="s">
        <v>182</v>
      </c>
      <c r="I232" s="11" t="s">
        <v>183</v>
      </c>
      <c r="J232" s="11" t="s">
        <v>184</v>
      </c>
      <c r="K232" s="11" t="s">
        <v>177</v>
      </c>
      <c r="L232" s="11" t="s">
        <v>177</v>
      </c>
      <c r="M232" s="11" t="s">
        <v>177</v>
      </c>
    </row>
    <row r="233" spans="1:13" ht="45" customHeight="1" x14ac:dyDescent="0.25">
      <c r="A233" s="11" t="s">
        <v>355</v>
      </c>
      <c r="B233" s="11" t="s">
        <v>177</v>
      </c>
      <c r="C233" s="11" t="s">
        <v>356</v>
      </c>
      <c r="D233" s="11" t="s">
        <v>87</v>
      </c>
      <c r="E233" s="11" t="s">
        <v>348</v>
      </c>
      <c r="F233" s="11" t="s">
        <v>357</v>
      </c>
      <c r="G233" s="11" t="s">
        <v>212</v>
      </c>
      <c r="H233" s="11" t="s">
        <v>182</v>
      </c>
      <c r="I233" s="11" t="s">
        <v>183</v>
      </c>
      <c r="J233" s="11" t="s">
        <v>184</v>
      </c>
      <c r="K233" s="11" t="s">
        <v>177</v>
      </c>
      <c r="L233" s="11" t="s">
        <v>177</v>
      </c>
      <c r="M233" s="11" t="s">
        <v>177</v>
      </c>
    </row>
    <row r="234" spans="1:13" ht="45" customHeight="1" x14ac:dyDescent="0.25">
      <c r="A234" s="11" t="s">
        <v>197</v>
      </c>
      <c r="B234" s="11" t="s">
        <v>177</v>
      </c>
      <c r="C234" s="11" t="s">
        <v>198</v>
      </c>
      <c r="D234" s="11" t="s">
        <v>87</v>
      </c>
      <c r="E234" s="11" t="s">
        <v>348</v>
      </c>
      <c r="F234" s="11" t="s">
        <v>358</v>
      </c>
      <c r="G234" s="11" t="s">
        <v>212</v>
      </c>
      <c r="H234" s="11" t="s">
        <v>182</v>
      </c>
      <c r="I234" s="11" t="s">
        <v>183</v>
      </c>
      <c r="J234" s="11" t="s">
        <v>184</v>
      </c>
      <c r="K234" s="11" t="s">
        <v>177</v>
      </c>
      <c r="L234" s="11" t="s">
        <v>177</v>
      </c>
      <c r="M234" s="11" t="s">
        <v>177</v>
      </c>
    </row>
    <row r="235" spans="1:13" ht="45" customHeight="1" x14ac:dyDescent="0.25">
      <c r="A235" s="11" t="s">
        <v>194</v>
      </c>
      <c r="B235" s="11" t="s">
        <v>177</v>
      </c>
      <c r="C235" s="11" t="s">
        <v>195</v>
      </c>
      <c r="D235" s="11" t="s">
        <v>87</v>
      </c>
      <c r="E235" s="11" t="s">
        <v>348</v>
      </c>
      <c r="F235" s="11" t="s">
        <v>359</v>
      </c>
      <c r="G235" s="11" t="s">
        <v>212</v>
      </c>
      <c r="H235" s="11" t="s">
        <v>182</v>
      </c>
      <c r="I235" s="11" t="s">
        <v>183</v>
      </c>
      <c r="J235" s="11" t="s">
        <v>184</v>
      </c>
      <c r="K235" s="11" t="s">
        <v>177</v>
      </c>
      <c r="L235" s="11" t="s">
        <v>177</v>
      </c>
      <c r="M235" s="11" t="s">
        <v>177</v>
      </c>
    </row>
    <row r="236" spans="1:13" ht="45" customHeight="1" x14ac:dyDescent="0.25">
      <c r="A236" s="11" t="s">
        <v>176</v>
      </c>
      <c r="B236" s="11" t="s">
        <v>177</v>
      </c>
      <c r="C236" s="11" t="s">
        <v>178</v>
      </c>
      <c r="D236" s="11" t="s">
        <v>87</v>
      </c>
      <c r="E236" s="11" t="s">
        <v>360</v>
      </c>
      <c r="F236" s="11" t="s">
        <v>361</v>
      </c>
      <c r="G236" s="11" t="s">
        <v>234</v>
      </c>
      <c r="H236" s="11" t="s">
        <v>182</v>
      </c>
      <c r="I236" s="11" t="s">
        <v>183</v>
      </c>
      <c r="J236" s="11" t="s">
        <v>184</v>
      </c>
      <c r="K236" s="11" t="s">
        <v>177</v>
      </c>
      <c r="L236" s="11" t="s">
        <v>177</v>
      </c>
      <c r="M236" s="11" t="s">
        <v>177</v>
      </c>
    </row>
    <row r="237" spans="1:13" ht="45" customHeight="1" x14ac:dyDescent="0.25">
      <c r="A237" s="11" t="s">
        <v>185</v>
      </c>
      <c r="B237" s="11" t="s">
        <v>177</v>
      </c>
      <c r="C237" s="11" t="s">
        <v>186</v>
      </c>
      <c r="D237" s="11" t="s">
        <v>87</v>
      </c>
      <c r="E237" s="11" t="s">
        <v>360</v>
      </c>
      <c r="F237" s="11" t="s">
        <v>214</v>
      </c>
      <c r="G237" s="11" t="s">
        <v>234</v>
      </c>
      <c r="H237" s="11" t="s">
        <v>182</v>
      </c>
      <c r="I237" s="11" t="s">
        <v>183</v>
      </c>
      <c r="J237" s="11" t="s">
        <v>184</v>
      </c>
      <c r="K237" s="11" t="s">
        <v>177</v>
      </c>
      <c r="L237" s="11" t="s">
        <v>177</v>
      </c>
      <c r="M237" s="11" t="s">
        <v>177</v>
      </c>
    </row>
    <row r="238" spans="1:13" ht="45" customHeight="1" x14ac:dyDescent="0.25">
      <c r="A238" s="11" t="s">
        <v>312</v>
      </c>
      <c r="B238" s="11" t="s">
        <v>177</v>
      </c>
      <c r="C238" s="11" t="s">
        <v>313</v>
      </c>
      <c r="D238" s="11" t="s">
        <v>87</v>
      </c>
      <c r="E238" s="11" t="s">
        <v>360</v>
      </c>
      <c r="F238" s="11" t="s">
        <v>362</v>
      </c>
      <c r="G238" s="11" t="s">
        <v>234</v>
      </c>
      <c r="H238" s="11" t="s">
        <v>182</v>
      </c>
      <c r="I238" s="11" t="s">
        <v>183</v>
      </c>
      <c r="J238" s="11" t="s">
        <v>184</v>
      </c>
      <c r="K238" s="11" t="s">
        <v>177</v>
      </c>
      <c r="L238" s="11" t="s">
        <v>177</v>
      </c>
      <c r="M238" s="11" t="s">
        <v>177</v>
      </c>
    </row>
    <row r="239" spans="1:13" ht="45" customHeight="1" x14ac:dyDescent="0.25">
      <c r="A239" s="11" t="s">
        <v>200</v>
      </c>
      <c r="B239" s="11" t="s">
        <v>177</v>
      </c>
      <c r="C239" s="11" t="s">
        <v>201</v>
      </c>
      <c r="D239" s="11" t="s">
        <v>87</v>
      </c>
      <c r="E239" s="11" t="s">
        <v>360</v>
      </c>
      <c r="F239" s="11" t="s">
        <v>314</v>
      </c>
      <c r="G239" s="11" t="s">
        <v>234</v>
      </c>
      <c r="H239" s="11" t="s">
        <v>182</v>
      </c>
      <c r="I239" s="11" t="s">
        <v>183</v>
      </c>
      <c r="J239" s="11" t="s">
        <v>184</v>
      </c>
      <c r="K239" s="11" t="s">
        <v>177</v>
      </c>
      <c r="L239" s="11" t="s">
        <v>177</v>
      </c>
      <c r="M239" s="11" t="s">
        <v>177</v>
      </c>
    </row>
    <row r="240" spans="1:13" ht="45" customHeight="1" x14ac:dyDescent="0.25">
      <c r="A240" s="11" t="s">
        <v>217</v>
      </c>
      <c r="B240" s="11" t="s">
        <v>177</v>
      </c>
      <c r="C240" s="11" t="s">
        <v>218</v>
      </c>
      <c r="D240" s="11" t="s">
        <v>87</v>
      </c>
      <c r="E240" s="11" t="s">
        <v>360</v>
      </c>
      <c r="F240" s="11" t="s">
        <v>314</v>
      </c>
      <c r="G240" s="11" t="s">
        <v>234</v>
      </c>
      <c r="H240" s="11" t="s">
        <v>182</v>
      </c>
      <c r="I240" s="11" t="s">
        <v>183</v>
      </c>
      <c r="J240" s="11" t="s">
        <v>184</v>
      </c>
      <c r="K240" s="11" t="s">
        <v>177</v>
      </c>
      <c r="L240" s="11" t="s">
        <v>177</v>
      </c>
      <c r="M240" s="11" t="s">
        <v>177</v>
      </c>
    </row>
    <row r="241" spans="1:13" ht="45" customHeight="1" x14ac:dyDescent="0.25">
      <c r="A241" s="11" t="s">
        <v>197</v>
      </c>
      <c r="B241" s="11" t="s">
        <v>177</v>
      </c>
      <c r="C241" s="11" t="s">
        <v>198</v>
      </c>
      <c r="D241" s="11" t="s">
        <v>87</v>
      </c>
      <c r="E241" s="11" t="s">
        <v>360</v>
      </c>
      <c r="F241" s="11" t="s">
        <v>324</v>
      </c>
      <c r="G241" s="11" t="s">
        <v>234</v>
      </c>
      <c r="H241" s="11" t="s">
        <v>182</v>
      </c>
      <c r="I241" s="11" t="s">
        <v>183</v>
      </c>
      <c r="J241" s="11" t="s">
        <v>184</v>
      </c>
      <c r="K241" s="11" t="s">
        <v>177</v>
      </c>
      <c r="L241" s="11" t="s">
        <v>177</v>
      </c>
      <c r="M241" s="11" t="s">
        <v>177</v>
      </c>
    </row>
    <row r="242" spans="1:13" ht="45" customHeight="1" x14ac:dyDescent="0.25">
      <c r="A242" s="11" t="s">
        <v>194</v>
      </c>
      <c r="B242" s="11" t="s">
        <v>177</v>
      </c>
      <c r="C242" s="11" t="s">
        <v>195</v>
      </c>
      <c r="D242" s="11" t="s">
        <v>87</v>
      </c>
      <c r="E242" s="11" t="s">
        <v>360</v>
      </c>
      <c r="F242" s="11" t="s">
        <v>220</v>
      </c>
      <c r="G242" s="11" t="s">
        <v>234</v>
      </c>
      <c r="H242" s="11" t="s">
        <v>182</v>
      </c>
      <c r="I242" s="11" t="s">
        <v>183</v>
      </c>
      <c r="J242" s="11" t="s">
        <v>184</v>
      </c>
      <c r="K242" s="11" t="s">
        <v>177</v>
      </c>
      <c r="L242" s="11" t="s">
        <v>177</v>
      </c>
      <c r="M242" s="11" t="s">
        <v>177</v>
      </c>
    </row>
    <row r="243" spans="1:13" ht="45" customHeight="1" x14ac:dyDescent="0.25">
      <c r="A243" s="11" t="s">
        <v>191</v>
      </c>
      <c r="B243" s="11" t="s">
        <v>177</v>
      </c>
      <c r="C243" s="11" t="s">
        <v>192</v>
      </c>
      <c r="D243" s="11" t="s">
        <v>87</v>
      </c>
      <c r="E243" s="11" t="s">
        <v>360</v>
      </c>
      <c r="F243" s="11" t="s">
        <v>363</v>
      </c>
      <c r="G243" s="11" t="s">
        <v>234</v>
      </c>
      <c r="H243" s="11" t="s">
        <v>182</v>
      </c>
      <c r="I243" s="11" t="s">
        <v>183</v>
      </c>
      <c r="J243" s="11" t="s">
        <v>184</v>
      </c>
      <c r="K243" s="11" t="s">
        <v>177</v>
      </c>
      <c r="L243" s="11" t="s">
        <v>177</v>
      </c>
      <c r="M243" s="11" t="s">
        <v>177</v>
      </c>
    </row>
    <row r="244" spans="1:13" ht="45" customHeight="1" x14ac:dyDescent="0.25">
      <c r="A244" s="11" t="s">
        <v>194</v>
      </c>
      <c r="B244" s="11" t="s">
        <v>177</v>
      </c>
      <c r="C244" s="11" t="s">
        <v>195</v>
      </c>
      <c r="D244" s="11" t="s">
        <v>87</v>
      </c>
      <c r="E244" s="11" t="s">
        <v>360</v>
      </c>
      <c r="F244" s="11" t="s">
        <v>364</v>
      </c>
      <c r="G244" s="11" t="s">
        <v>234</v>
      </c>
      <c r="H244" s="11" t="s">
        <v>182</v>
      </c>
      <c r="I244" s="11" t="s">
        <v>183</v>
      </c>
      <c r="J244" s="11" t="s">
        <v>184</v>
      </c>
      <c r="K244" s="11" t="s">
        <v>177</v>
      </c>
      <c r="L244" s="11" t="s">
        <v>177</v>
      </c>
      <c r="M244" s="11" t="s">
        <v>177</v>
      </c>
    </row>
    <row r="245" spans="1:13" ht="45" customHeight="1" x14ac:dyDescent="0.25">
      <c r="A245" s="11" t="s">
        <v>194</v>
      </c>
      <c r="B245" s="11" t="s">
        <v>177</v>
      </c>
      <c r="C245" s="11" t="s">
        <v>195</v>
      </c>
      <c r="D245" s="11" t="s">
        <v>87</v>
      </c>
      <c r="E245" s="11" t="s">
        <v>360</v>
      </c>
      <c r="F245" s="11" t="s">
        <v>365</v>
      </c>
      <c r="G245" s="11" t="s">
        <v>234</v>
      </c>
      <c r="H245" s="11" t="s">
        <v>182</v>
      </c>
      <c r="I245" s="11" t="s">
        <v>183</v>
      </c>
      <c r="J245" s="11" t="s">
        <v>184</v>
      </c>
      <c r="K245" s="11" t="s">
        <v>177</v>
      </c>
      <c r="L245" s="11" t="s">
        <v>177</v>
      </c>
      <c r="M245" s="11" t="s">
        <v>177</v>
      </c>
    </row>
    <row r="246" spans="1:13" ht="45" customHeight="1" x14ac:dyDescent="0.25">
      <c r="A246" s="11" t="s">
        <v>191</v>
      </c>
      <c r="B246" s="11" t="s">
        <v>177</v>
      </c>
      <c r="C246" s="11" t="s">
        <v>192</v>
      </c>
      <c r="D246" s="11" t="s">
        <v>87</v>
      </c>
      <c r="E246" s="11" t="s">
        <v>360</v>
      </c>
      <c r="F246" s="11" t="s">
        <v>366</v>
      </c>
      <c r="G246" s="11" t="s">
        <v>234</v>
      </c>
      <c r="H246" s="11" t="s">
        <v>182</v>
      </c>
      <c r="I246" s="11" t="s">
        <v>183</v>
      </c>
      <c r="J246" s="11" t="s">
        <v>184</v>
      </c>
      <c r="K246" s="11" t="s">
        <v>177</v>
      </c>
      <c r="L246" s="11" t="s">
        <v>177</v>
      </c>
      <c r="M246" s="11" t="s">
        <v>177</v>
      </c>
    </row>
    <row r="247" spans="1:13" ht="45" customHeight="1" x14ac:dyDescent="0.25">
      <c r="A247" s="11" t="s">
        <v>194</v>
      </c>
      <c r="B247" s="11" t="s">
        <v>177</v>
      </c>
      <c r="C247" s="11" t="s">
        <v>195</v>
      </c>
      <c r="D247" s="11" t="s">
        <v>87</v>
      </c>
      <c r="E247" s="11" t="s">
        <v>360</v>
      </c>
      <c r="F247" s="11" t="s">
        <v>246</v>
      </c>
      <c r="G247" s="11" t="s">
        <v>234</v>
      </c>
      <c r="H247" s="11" t="s">
        <v>182</v>
      </c>
      <c r="I247" s="11" t="s">
        <v>183</v>
      </c>
      <c r="J247" s="11" t="s">
        <v>184</v>
      </c>
      <c r="K247" s="11" t="s">
        <v>177</v>
      </c>
      <c r="L247" s="11" t="s">
        <v>177</v>
      </c>
      <c r="M247" s="11" t="s">
        <v>177</v>
      </c>
    </row>
    <row r="248" spans="1:13" ht="45" customHeight="1" x14ac:dyDescent="0.25">
      <c r="A248" s="11" t="s">
        <v>185</v>
      </c>
      <c r="B248" s="11" t="s">
        <v>177</v>
      </c>
      <c r="C248" s="11" t="s">
        <v>186</v>
      </c>
      <c r="D248" s="11" t="s">
        <v>87</v>
      </c>
      <c r="E248" s="11" t="s">
        <v>360</v>
      </c>
      <c r="F248" s="11" t="s">
        <v>367</v>
      </c>
      <c r="G248" s="11" t="s">
        <v>234</v>
      </c>
      <c r="H248" s="11" t="s">
        <v>182</v>
      </c>
      <c r="I248" s="11" t="s">
        <v>183</v>
      </c>
      <c r="J248" s="11" t="s">
        <v>184</v>
      </c>
      <c r="K248" s="11" t="s">
        <v>177</v>
      </c>
      <c r="L248" s="11" t="s">
        <v>177</v>
      </c>
      <c r="M248" s="11" t="s">
        <v>177</v>
      </c>
    </row>
    <row r="249" spans="1:13" ht="45" customHeight="1" x14ac:dyDescent="0.25">
      <c r="A249" s="11" t="s">
        <v>176</v>
      </c>
      <c r="B249" s="11" t="s">
        <v>177</v>
      </c>
      <c r="C249" s="11" t="s">
        <v>178</v>
      </c>
      <c r="D249" s="11" t="s">
        <v>87</v>
      </c>
      <c r="E249" s="11" t="s">
        <v>360</v>
      </c>
      <c r="F249" s="11" t="s">
        <v>275</v>
      </c>
      <c r="G249" s="11" t="s">
        <v>234</v>
      </c>
      <c r="H249" s="11" t="s">
        <v>182</v>
      </c>
      <c r="I249" s="11" t="s">
        <v>183</v>
      </c>
      <c r="J249" s="11" t="s">
        <v>184</v>
      </c>
      <c r="K249" s="11" t="s">
        <v>177</v>
      </c>
      <c r="L249" s="11" t="s">
        <v>177</v>
      </c>
      <c r="M249" s="11" t="s">
        <v>177</v>
      </c>
    </row>
    <row r="250" spans="1:13" ht="45" customHeight="1" x14ac:dyDescent="0.25">
      <c r="A250" s="11" t="s">
        <v>176</v>
      </c>
      <c r="B250" s="11" t="s">
        <v>177</v>
      </c>
      <c r="C250" s="11" t="s">
        <v>178</v>
      </c>
      <c r="D250" s="11" t="s">
        <v>87</v>
      </c>
      <c r="E250" s="11" t="s">
        <v>368</v>
      </c>
      <c r="F250" s="11" t="s">
        <v>248</v>
      </c>
      <c r="G250" s="11" t="s">
        <v>249</v>
      </c>
      <c r="H250" s="11" t="s">
        <v>182</v>
      </c>
      <c r="I250" s="11" t="s">
        <v>183</v>
      </c>
      <c r="J250" s="11" t="s">
        <v>184</v>
      </c>
      <c r="K250" s="11" t="s">
        <v>177</v>
      </c>
      <c r="L250" s="11" t="s">
        <v>177</v>
      </c>
      <c r="M250" s="11" t="s">
        <v>177</v>
      </c>
    </row>
    <row r="251" spans="1:13" ht="45" customHeight="1" x14ac:dyDescent="0.25">
      <c r="A251" s="11" t="s">
        <v>185</v>
      </c>
      <c r="B251" s="11" t="s">
        <v>177</v>
      </c>
      <c r="C251" s="11" t="s">
        <v>186</v>
      </c>
      <c r="D251" s="11" t="s">
        <v>87</v>
      </c>
      <c r="E251" s="11" t="s">
        <v>368</v>
      </c>
      <c r="F251" s="11" t="s">
        <v>303</v>
      </c>
      <c r="G251" s="11" t="s">
        <v>249</v>
      </c>
      <c r="H251" s="11" t="s">
        <v>182</v>
      </c>
      <c r="I251" s="11" t="s">
        <v>183</v>
      </c>
      <c r="J251" s="11" t="s">
        <v>184</v>
      </c>
      <c r="K251" s="11" t="s">
        <v>177</v>
      </c>
      <c r="L251" s="11" t="s">
        <v>177</v>
      </c>
      <c r="M251" s="11" t="s">
        <v>177</v>
      </c>
    </row>
    <row r="252" spans="1:13" ht="45" customHeight="1" x14ac:dyDescent="0.25">
      <c r="A252" s="11" t="s">
        <v>191</v>
      </c>
      <c r="B252" s="11" t="s">
        <v>177</v>
      </c>
      <c r="C252" s="11" t="s">
        <v>192</v>
      </c>
      <c r="D252" s="11" t="s">
        <v>87</v>
      </c>
      <c r="E252" s="11" t="s">
        <v>368</v>
      </c>
      <c r="F252" s="11" t="s">
        <v>193</v>
      </c>
      <c r="G252" s="11" t="s">
        <v>249</v>
      </c>
      <c r="H252" s="11" t="s">
        <v>182</v>
      </c>
      <c r="I252" s="11" t="s">
        <v>183</v>
      </c>
      <c r="J252" s="11" t="s">
        <v>184</v>
      </c>
      <c r="K252" s="11" t="s">
        <v>177</v>
      </c>
      <c r="L252" s="11" t="s">
        <v>177</v>
      </c>
      <c r="M252" s="11" t="s">
        <v>177</v>
      </c>
    </row>
    <row r="253" spans="1:13" ht="45" customHeight="1" x14ac:dyDescent="0.25">
      <c r="A253" s="11" t="s">
        <v>200</v>
      </c>
      <c r="B253" s="11" t="s">
        <v>177</v>
      </c>
      <c r="C253" s="11" t="s">
        <v>201</v>
      </c>
      <c r="D253" s="11" t="s">
        <v>87</v>
      </c>
      <c r="E253" s="11" t="s">
        <v>368</v>
      </c>
      <c r="F253" s="11" t="s">
        <v>369</v>
      </c>
      <c r="G253" s="11" t="s">
        <v>249</v>
      </c>
      <c r="H253" s="11" t="s">
        <v>182</v>
      </c>
      <c r="I253" s="11" t="s">
        <v>183</v>
      </c>
      <c r="J253" s="11" t="s">
        <v>184</v>
      </c>
      <c r="K253" s="11" t="s">
        <v>177</v>
      </c>
      <c r="L253" s="11" t="s">
        <v>177</v>
      </c>
      <c r="M253" s="11" t="s">
        <v>177</v>
      </c>
    </row>
    <row r="254" spans="1:13" ht="45" customHeight="1" x14ac:dyDescent="0.25">
      <c r="A254" s="11" t="s">
        <v>217</v>
      </c>
      <c r="B254" s="11" t="s">
        <v>177</v>
      </c>
      <c r="C254" s="11" t="s">
        <v>218</v>
      </c>
      <c r="D254" s="11" t="s">
        <v>87</v>
      </c>
      <c r="E254" s="11" t="s">
        <v>368</v>
      </c>
      <c r="F254" s="11" t="s">
        <v>370</v>
      </c>
      <c r="G254" s="11" t="s">
        <v>249</v>
      </c>
      <c r="H254" s="11" t="s">
        <v>182</v>
      </c>
      <c r="I254" s="11" t="s">
        <v>183</v>
      </c>
      <c r="J254" s="11" t="s">
        <v>184</v>
      </c>
      <c r="K254" s="11" t="s">
        <v>177</v>
      </c>
      <c r="L254" s="11" t="s">
        <v>177</v>
      </c>
      <c r="M254" s="11" t="s">
        <v>177</v>
      </c>
    </row>
    <row r="255" spans="1:13" ht="45" customHeight="1" x14ac:dyDescent="0.25">
      <c r="A255" s="11" t="s">
        <v>197</v>
      </c>
      <c r="B255" s="11" t="s">
        <v>177</v>
      </c>
      <c r="C255" s="11" t="s">
        <v>198</v>
      </c>
      <c r="D255" s="11" t="s">
        <v>87</v>
      </c>
      <c r="E255" s="11" t="s">
        <v>368</v>
      </c>
      <c r="F255" s="11" t="s">
        <v>333</v>
      </c>
      <c r="G255" s="11" t="s">
        <v>249</v>
      </c>
      <c r="H255" s="11" t="s">
        <v>182</v>
      </c>
      <c r="I255" s="11" t="s">
        <v>183</v>
      </c>
      <c r="J255" s="11" t="s">
        <v>184</v>
      </c>
      <c r="K255" s="11" t="s">
        <v>177</v>
      </c>
      <c r="L255" s="11" t="s">
        <v>177</v>
      </c>
      <c r="M255" s="11" t="s">
        <v>177</v>
      </c>
    </row>
    <row r="256" spans="1:13" ht="45" customHeight="1" x14ac:dyDescent="0.25">
      <c r="A256" s="11" t="s">
        <v>194</v>
      </c>
      <c r="B256" s="11" t="s">
        <v>177</v>
      </c>
      <c r="C256" s="11" t="s">
        <v>195</v>
      </c>
      <c r="D256" s="11" t="s">
        <v>87</v>
      </c>
      <c r="E256" s="11" t="s">
        <v>368</v>
      </c>
      <c r="F256" s="11" t="s">
        <v>333</v>
      </c>
      <c r="G256" s="11" t="s">
        <v>249</v>
      </c>
      <c r="H256" s="11" t="s">
        <v>182</v>
      </c>
      <c r="I256" s="11" t="s">
        <v>183</v>
      </c>
      <c r="J256" s="11" t="s">
        <v>184</v>
      </c>
      <c r="K256" s="11" t="s">
        <v>177</v>
      </c>
      <c r="L256" s="11" t="s">
        <v>177</v>
      </c>
      <c r="M256" s="11" t="s">
        <v>177</v>
      </c>
    </row>
    <row r="257" spans="1:13" ht="45" customHeight="1" x14ac:dyDescent="0.25">
      <c r="A257" s="11" t="s">
        <v>194</v>
      </c>
      <c r="B257" s="11" t="s">
        <v>177</v>
      </c>
      <c r="C257" s="11" t="s">
        <v>195</v>
      </c>
      <c r="D257" s="11" t="s">
        <v>87</v>
      </c>
      <c r="E257" s="11" t="s">
        <v>368</v>
      </c>
      <c r="F257" s="11" t="s">
        <v>371</v>
      </c>
      <c r="G257" s="11" t="s">
        <v>249</v>
      </c>
      <c r="H257" s="11" t="s">
        <v>182</v>
      </c>
      <c r="I257" s="11" t="s">
        <v>183</v>
      </c>
      <c r="J257" s="11" t="s">
        <v>184</v>
      </c>
      <c r="K257" s="11" t="s">
        <v>177</v>
      </c>
      <c r="L257" s="11" t="s">
        <v>177</v>
      </c>
      <c r="M257" s="11" t="s">
        <v>177</v>
      </c>
    </row>
    <row r="258" spans="1:13" ht="45" customHeight="1" x14ac:dyDescent="0.25">
      <c r="A258" s="11" t="s">
        <v>197</v>
      </c>
      <c r="B258" s="11" t="s">
        <v>177</v>
      </c>
      <c r="C258" s="11" t="s">
        <v>198</v>
      </c>
      <c r="D258" s="11" t="s">
        <v>87</v>
      </c>
      <c r="E258" s="11" t="s">
        <v>368</v>
      </c>
      <c r="F258" s="11" t="s">
        <v>372</v>
      </c>
      <c r="G258" s="11" t="s">
        <v>249</v>
      </c>
      <c r="H258" s="11" t="s">
        <v>182</v>
      </c>
      <c r="I258" s="11" t="s">
        <v>183</v>
      </c>
      <c r="J258" s="11" t="s">
        <v>184</v>
      </c>
      <c r="K258" s="11" t="s">
        <v>177</v>
      </c>
      <c r="L258" s="11" t="s">
        <v>177</v>
      </c>
      <c r="M258" s="11" t="s">
        <v>177</v>
      </c>
    </row>
    <row r="259" spans="1:13" ht="45" customHeight="1" x14ac:dyDescent="0.25">
      <c r="A259" s="11" t="s">
        <v>191</v>
      </c>
      <c r="B259" s="11" t="s">
        <v>177</v>
      </c>
      <c r="C259" s="11" t="s">
        <v>192</v>
      </c>
      <c r="D259" s="11" t="s">
        <v>87</v>
      </c>
      <c r="E259" s="11" t="s">
        <v>368</v>
      </c>
      <c r="F259" s="11" t="s">
        <v>373</v>
      </c>
      <c r="G259" s="11" t="s">
        <v>249</v>
      </c>
      <c r="H259" s="11" t="s">
        <v>182</v>
      </c>
      <c r="I259" s="11" t="s">
        <v>183</v>
      </c>
      <c r="J259" s="11" t="s">
        <v>184</v>
      </c>
      <c r="K259" s="11" t="s">
        <v>177</v>
      </c>
      <c r="L259" s="11" t="s">
        <v>177</v>
      </c>
      <c r="M259" s="11" t="s">
        <v>177</v>
      </c>
    </row>
    <row r="260" spans="1:13" ht="45" customHeight="1" x14ac:dyDescent="0.25">
      <c r="A260" s="11" t="s">
        <v>200</v>
      </c>
      <c r="B260" s="11" t="s">
        <v>177</v>
      </c>
      <c r="C260" s="11" t="s">
        <v>201</v>
      </c>
      <c r="D260" s="11" t="s">
        <v>87</v>
      </c>
      <c r="E260" s="11" t="s">
        <v>368</v>
      </c>
      <c r="F260" s="11" t="s">
        <v>344</v>
      </c>
      <c r="G260" s="11" t="s">
        <v>249</v>
      </c>
      <c r="H260" s="11" t="s">
        <v>182</v>
      </c>
      <c r="I260" s="11" t="s">
        <v>183</v>
      </c>
      <c r="J260" s="11" t="s">
        <v>184</v>
      </c>
      <c r="K260" s="11" t="s">
        <v>177</v>
      </c>
      <c r="L260" s="11" t="s">
        <v>177</v>
      </c>
      <c r="M260" s="11" t="s">
        <v>177</v>
      </c>
    </row>
    <row r="261" spans="1:13" ht="45" customHeight="1" x14ac:dyDescent="0.25">
      <c r="A261" s="11" t="s">
        <v>176</v>
      </c>
      <c r="B261" s="11" t="s">
        <v>177</v>
      </c>
      <c r="C261" s="11" t="s">
        <v>178</v>
      </c>
      <c r="D261" s="11" t="s">
        <v>87</v>
      </c>
      <c r="E261" s="11" t="s">
        <v>368</v>
      </c>
      <c r="F261" s="11" t="s">
        <v>374</v>
      </c>
      <c r="G261" s="11" t="s">
        <v>249</v>
      </c>
      <c r="H261" s="11" t="s">
        <v>182</v>
      </c>
      <c r="I261" s="11" t="s">
        <v>183</v>
      </c>
      <c r="J261" s="11" t="s">
        <v>184</v>
      </c>
      <c r="K261" s="11" t="s">
        <v>177</v>
      </c>
      <c r="L261" s="11" t="s">
        <v>177</v>
      </c>
      <c r="M261" s="11" t="s">
        <v>177</v>
      </c>
    </row>
    <row r="262" spans="1:13" ht="45" customHeight="1" x14ac:dyDescent="0.25">
      <c r="A262" s="11" t="s">
        <v>217</v>
      </c>
      <c r="B262" s="11" t="s">
        <v>177</v>
      </c>
      <c r="C262" s="11" t="s">
        <v>218</v>
      </c>
      <c r="D262" s="11" t="s">
        <v>87</v>
      </c>
      <c r="E262" s="11" t="s">
        <v>368</v>
      </c>
      <c r="F262" s="11" t="s">
        <v>375</v>
      </c>
      <c r="G262" s="11" t="s">
        <v>249</v>
      </c>
      <c r="H262" s="11" t="s">
        <v>182</v>
      </c>
      <c r="I262" s="11" t="s">
        <v>183</v>
      </c>
      <c r="J262" s="11" t="s">
        <v>184</v>
      </c>
      <c r="K262" s="11" t="s">
        <v>177</v>
      </c>
      <c r="L262" s="11" t="s">
        <v>177</v>
      </c>
      <c r="M262" s="11" t="s">
        <v>177</v>
      </c>
    </row>
    <row r="263" spans="1:13" ht="45" customHeight="1" x14ac:dyDescent="0.25">
      <c r="A263" s="11" t="s">
        <v>194</v>
      </c>
      <c r="B263" s="11" t="s">
        <v>177</v>
      </c>
      <c r="C263" s="11" t="s">
        <v>195</v>
      </c>
      <c r="D263" s="11" t="s">
        <v>87</v>
      </c>
      <c r="E263" s="11" t="s">
        <v>368</v>
      </c>
      <c r="F263" s="11" t="s">
        <v>376</v>
      </c>
      <c r="G263" s="11" t="s">
        <v>249</v>
      </c>
      <c r="H263" s="11" t="s">
        <v>182</v>
      </c>
      <c r="I263" s="11" t="s">
        <v>183</v>
      </c>
      <c r="J263" s="11" t="s">
        <v>184</v>
      </c>
      <c r="K263" s="11" t="s">
        <v>177</v>
      </c>
      <c r="L263" s="11" t="s">
        <v>177</v>
      </c>
      <c r="M263" s="11" t="s">
        <v>177</v>
      </c>
    </row>
    <row r="264" spans="1:13" ht="45" customHeight="1" x14ac:dyDescent="0.25">
      <c r="A264" s="11" t="s">
        <v>176</v>
      </c>
      <c r="B264" s="11" t="s">
        <v>177</v>
      </c>
      <c r="C264" s="11" t="s">
        <v>178</v>
      </c>
      <c r="D264" s="11" t="s">
        <v>87</v>
      </c>
      <c r="E264" s="11" t="s">
        <v>377</v>
      </c>
      <c r="F264" s="11" t="s">
        <v>180</v>
      </c>
      <c r="G264" s="11" t="s">
        <v>262</v>
      </c>
      <c r="H264" s="11" t="s">
        <v>182</v>
      </c>
      <c r="I264" s="11" t="s">
        <v>183</v>
      </c>
      <c r="J264" s="11" t="s">
        <v>184</v>
      </c>
      <c r="K264" s="11" t="s">
        <v>177</v>
      </c>
      <c r="L264" s="11" t="s">
        <v>177</v>
      </c>
      <c r="M264" s="11" t="s">
        <v>177</v>
      </c>
    </row>
    <row r="265" spans="1:13" ht="45" customHeight="1" x14ac:dyDescent="0.25">
      <c r="A265" s="11" t="s">
        <v>185</v>
      </c>
      <c r="B265" s="11" t="s">
        <v>177</v>
      </c>
      <c r="C265" s="11" t="s">
        <v>186</v>
      </c>
      <c r="D265" s="11" t="s">
        <v>87</v>
      </c>
      <c r="E265" s="11" t="s">
        <v>377</v>
      </c>
      <c r="F265" s="11" t="s">
        <v>280</v>
      </c>
      <c r="G265" s="11" t="s">
        <v>262</v>
      </c>
      <c r="H265" s="11" t="s">
        <v>182</v>
      </c>
      <c r="I265" s="11" t="s">
        <v>183</v>
      </c>
      <c r="J265" s="11" t="s">
        <v>184</v>
      </c>
      <c r="K265" s="11" t="s">
        <v>177</v>
      </c>
      <c r="L265" s="11" t="s">
        <v>177</v>
      </c>
      <c r="M265" s="11" t="s">
        <v>177</v>
      </c>
    </row>
    <row r="266" spans="1:13" ht="45" customHeight="1" x14ac:dyDescent="0.25">
      <c r="A266" s="11" t="s">
        <v>191</v>
      </c>
      <c r="B266" s="11" t="s">
        <v>177</v>
      </c>
      <c r="C266" s="11" t="s">
        <v>192</v>
      </c>
      <c r="D266" s="11" t="s">
        <v>87</v>
      </c>
      <c r="E266" s="11" t="s">
        <v>377</v>
      </c>
      <c r="F266" s="11" t="s">
        <v>340</v>
      </c>
      <c r="G266" s="11" t="s">
        <v>262</v>
      </c>
      <c r="H266" s="11" t="s">
        <v>182</v>
      </c>
      <c r="I266" s="11" t="s">
        <v>183</v>
      </c>
      <c r="J266" s="11" t="s">
        <v>184</v>
      </c>
      <c r="K266" s="11" t="s">
        <v>177</v>
      </c>
      <c r="L266" s="11" t="s">
        <v>177</v>
      </c>
      <c r="M266" s="11" t="s">
        <v>177</v>
      </c>
    </row>
    <row r="267" spans="1:13" ht="45" customHeight="1" x14ac:dyDescent="0.25">
      <c r="A267" s="11" t="s">
        <v>312</v>
      </c>
      <c r="B267" s="11" t="s">
        <v>177</v>
      </c>
      <c r="C267" s="11" t="s">
        <v>313</v>
      </c>
      <c r="D267" s="11" t="s">
        <v>87</v>
      </c>
      <c r="E267" s="11" t="s">
        <v>377</v>
      </c>
      <c r="F267" s="11" t="s">
        <v>216</v>
      </c>
      <c r="G267" s="11" t="s">
        <v>262</v>
      </c>
      <c r="H267" s="11" t="s">
        <v>182</v>
      </c>
      <c r="I267" s="11" t="s">
        <v>183</v>
      </c>
      <c r="J267" s="11" t="s">
        <v>184</v>
      </c>
      <c r="K267" s="11" t="s">
        <v>177</v>
      </c>
      <c r="L267" s="11" t="s">
        <v>177</v>
      </c>
      <c r="M267" s="11" t="s">
        <v>177</v>
      </c>
    </row>
    <row r="268" spans="1:13" ht="45" customHeight="1" x14ac:dyDescent="0.25">
      <c r="A268" s="11" t="s">
        <v>200</v>
      </c>
      <c r="B268" s="11" t="s">
        <v>177</v>
      </c>
      <c r="C268" s="11" t="s">
        <v>201</v>
      </c>
      <c r="D268" s="11" t="s">
        <v>87</v>
      </c>
      <c r="E268" s="11" t="s">
        <v>377</v>
      </c>
      <c r="F268" s="11" t="s">
        <v>378</v>
      </c>
      <c r="G268" s="11" t="s">
        <v>262</v>
      </c>
      <c r="H268" s="11" t="s">
        <v>182</v>
      </c>
      <c r="I268" s="11" t="s">
        <v>183</v>
      </c>
      <c r="J268" s="11" t="s">
        <v>184</v>
      </c>
      <c r="K268" s="11" t="s">
        <v>177</v>
      </c>
      <c r="L268" s="11" t="s">
        <v>177</v>
      </c>
      <c r="M268" s="11" t="s">
        <v>177</v>
      </c>
    </row>
    <row r="269" spans="1:13" ht="45" customHeight="1" x14ac:dyDescent="0.25">
      <c r="A269" s="11" t="s">
        <v>217</v>
      </c>
      <c r="B269" s="11" t="s">
        <v>177</v>
      </c>
      <c r="C269" s="11" t="s">
        <v>218</v>
      </c>
      <c r="D269" s="11" t="s">
        <v>87</v>
      </c>
      <c r="E269" s="11" t="s">
        <v>377</v>
      </c>
      <c r="F269" s="11" t="s">
        <v>378</v>
      </c>
      <c r="G269" s="11" t="s">
        <v>262</v>
      </c>
      <c r="H269" s="11" t="s">
        <v>182</v>
      </c>
      <c r="I269" s="11" t="s">
        <v>183</v>
      </c>
      <c r="J269" s="11" t="s">
        <v>184</v>
      </c>
      <c r="K269" s="11" t="s">
        <v>177</v>
      </c>
      <c r="L269" s="11" t="s">
        <v>177</v>
      </c>
      <c r="M269" s="11" t="s">
        <v>177</v>
      </c>
    </row>
    <row r="270" spans="1:13" ht="45" customHeight="1" x14ac:dyDescent="0.25">
      <c r="A270" s="11" t="s">
        <v>197</v>
      </c>
      <c r="B270" s="11" t="s">
        <v>177</v>
      </c>
      <c r="C270" s="11" t="s">
        <v>198</v>
      </c>
      <c r="D270" s="11" t="s">
        <v>87</v>
      </c>
      <c r="E270" s="11" t="s">
        <v>377</v>
      </c>
      <c r="F270" s="11" t="s">
        <v>342</v>
      </c>
      <c r="G270" s="11" t="s">
        <v>262</v>
      </c>
      <c r="H270" s="11" t="s">
        <v>182</v>
      </c>
      <c r="I270" s="11" t="s">
        <v>183</v>
      </c>
      <c r="J270" s="11" t="s">
        <v>184</v>
      </c>
      <c r="K270" s="11" t="s">
        <v>177</v>
      </c>
      <c r="L270" s="11" t="s">
        <v>177</v>
      </c>
      <c r="M270" s="11" t="s">
        <v>177</v>
      </c>
    </row>
    <row r="271" spans="1:13" ht="45" customHeight="1" x14ac:dyDescent="0.25">
      <c r="A271" s="11" t="s">
        <v>194</v>
      </c>
      <c r="B271" s="11" t="s">
        <v>177</v>
      </c>
      <c r="C271" s="11" t="s">
        <v>195</v>
      </c>
      <c r="D271" s="11" t="s">
        <v>87</v>
      </c>
      <c r="E271" s="11" t="s">
        <v>377</v>
      </c>
      <c r="F271" s="11" t="s">
        <v>333</v>
      </c>
      <c r="G271" s="11" t="s">
        <v>262</v>
      </c>
      <c r="H271" s="11" t="s">
        <v>182</v>
      </c>
      <c r="I271" s="11" t="s">
        <v>183</v>
      </c>
      <c r="J271" s="11" t="s">
        <v>184</v>
      </c>
      <c r="K271" s="11" t="s">
        <v>177</v>
      </c>
      <c r="L271" s="11" t="s">
        <v>177</v>
      </c>
      <c r="M271" s="11" t="s">
        <v>177</v>
      </c>
    </row>
    <row r="272" spans="1:13" ht="45" customHeight="1" x14ac:dyDescent="0.25">
      <c r="A272" s="11" t="s">
        <v>194</v>
      </c>
      <c r="B272" s="11" t="s">
        <v>177</v>
      </c>
      <c r="C272" s="11" t="s">
        <v>195</v>
      </c>
      <c r="D272" s="11" t="s">
        <v>87</v>
      </c>
      <c r="E272" s="11" t="s">
        <v>377</v>
      </c>
      <c r="F272" s="11" t="s">
        <v>343</v>
      </c>
      <c r="G272" s="11" t="s">
        <v>262</v>
      </c>
      <c r="H272" s="11" t="s">
        <v>182</v>
      </c>
      <c r="I272" s="11" t="s">
        <v>183</v>
      </c>
      <c r="J272" s="11" t="s">
        <v>184</v>
      </c>
      <c r="K272" s="11" t="s">
        <v>177</v>
      </c>
      <c r="L272" s="11" t="s">
        <v>177</v>
      </c>
      <c r="M272" s="11" t="s">
        <v>177</v>
      </c>
    </row>
    <row r="273" spans="1:13" ht="45" customHeight="1" x14ac:dyDescent="0.25">
      <c r="A273" s="11" t="s">
        <v>185</v>
      </c>
      <c r="B273" s="11" t="s">
        <v>177</v>
      </c>
      <c r="C273" s="11" t="s">
        <v>186</v>
      </c>
      <c r="D273" s="11" t="s">
        <v>87</v>
      </c>
      <c r="E273" s="11" t="s">
        <v>377</v>
      </c>
      <c r="F273" s="11" t="s">
        <v>227</v>
      </c>
      <c r="G273" s="11" t="s">
        <v>262</v>
      </c>
      <c r="H273" s="11" t="s">
        <v>182</v>
      </c>
      <c r="I273" s="11" t="s">
        <v>183</v>
      </c>
      <c r="J273" s="11" t="s">
        <v>184</v>
      </c>
      <c r="K273" s="11" t="s">
        <v>177</v>
      </c>
      <c r="L273" s="11" t="s">
        <v>177</v>
      </c>
      <c r="M273" s="11" t="s">
        <v>177</v>
      </c>
    </row>
    <row r="274" spans="1:13" ht="45" customHeight="1" x14ac:dyDescent="0.25">
      <c r="A274" s="11" t="s">
        <v>200</v>
      </c>
      <c r="B274" s="11" t="s">
        <v>177</v>
      </c>
      <c r="C274" s="11" t="s">
        <v>201</v>
      </c>
      <c r="D274" s="11" t="s">
        <v>87</v>
      </c>
      <c r="E274" s="11" t="s">
        <v>377</v>
      </c>
      <c r="F274" s="11" t="s">
        <v>227</v>
      </c>
      <c r="G274" s="11" t="s">
        <v>262</v>
      </c>
      <c r="H274" s="11" t="s">
        <v>182</v>
      </c>
      <c r="I274" s="11" t="s">
        <v>183</v>
      </c>
      <c r="J274" s="11" t="s">
        <v>184</v>
      </c>
      <c r="K274" s="11" t="s">
        <v>177</v>
      </c>
      <c r="L274" s="11" t="s">
        <v>177</v>
      </c>
      <c r="M274" s="11" t="s">
        <v>177</v>
      </c>
    </row>
    <row r="275" spans="1:13" ht="45" customHeight="1" x14ac:dyDescent="0.25">
      <c r="A275" s="11" t="s">
        <v>217</v>
      </c>
      <c r="B275" s="11" t="s">
        <v>177</v>
      </c>
      <c r="C275" s="11" t="s">
        <v>218</v>
      </c>
      <c r="D275" s="11" t="s">
        <v>87</v>
      </c>
      <c r="E275" s="11" t="s">
        <v>377</v>
      </c>
      <c r="F275" s="11" t="s">
        <v>227</v>
      </c>
      <c r="G275" s="11" t="s">
        <v>262</v>
      </c>
      <c r="H275" s="11" t="s">
        <v>182</v>
      </c>
      <c r="I275" s="11" t="s">
        <v>183</v>
      </c>
      <c r="J275" s="11" t="s">
        <v>184</v>
      </c>
      <c r="K275" s="11" t="s">
        <v>177</v>
      </c>
      <c r="L275" s="11" t="s">
        <v>177</v>
      </c>
      <c r="M275" s="11" t="s">
        <v>177</v>
      </c>
    </row>
    <row r="276" spans="1:13" ht="45" customHeight="1" x14ac:dyDescent="0.25">
      <c r="A276" s="11" t="s">
        <v>176</v>
      </c>
      <c r="B276" s="11" t="s">
        <v>177</v>
      </c>
      <c r="C276" s="11" t="s">
        <v>178</v>
      </c>
      <c r="D276" s="11" t="s">
        <v>87</v>
      </c>
      <c r="E276" s="11" t="s">
        <v>377</v>
      </c>
      <c r="F276" s="11" t="s">
        <v>284</v>
      </c>
      <c r="G276" s="11" t="s">
        <v>262</v>
      </c>
      <c r="H276" s="11" t="s">
        <v>182</v>
      </c>
      <c r="I276" s="11" t="s">
        <v>183</v>
      </c>
      <c r="J276" s="11" t="s">
        <v>184</v>
      </c>
      <c r="K276" s="11" t="s">
        <v>177</v>
      </c>
      <c r="L276" s="11" t="s">
        <v>177</v>
      </c>
      <c r="M276" s="11" t="s">
        <v>177</v>
      </c>
    </row>
    <row r="277" spans="1:13" ht="45" customHeight="1" x14ac:dyDescent="0.25">
      <c r="A277" s="11" t="s">
        <v>191</v>
      </c>
      <c r="B277" s="11" t="s">
        <v>177</v>
      </c>
      <c r="C277" s="11" t="s">
        <v>192</v>
      </c>
      <c r="D277" s="11" t="s">
        <v>87</v>
      </c>
      <c r="E277" s="11" t="s">
        <v>377</v>
      </c>
      <c r="F277" s="11" t="s">
        <v>344</v>
      </c>
      <c r="G277" s="11" t="s">
        <v>262</v>
      </c>
      <c r="H277" s="11" t="s">
        <v>182</v>
      </c>
      <c r="I277" s="11" t="s">
        <v>183</v>
      </c>
      <c r="J277" s="11" t="s">
        <v>184</v>
      </c>
      <c r="K277" s="11" t="s">
        <v>177</v>
      </c>
      <c r="L277" s="11" t="s">
        <v>177</v>
      </c>
      <c r="M277" s="11" t="s">
        <v>177</v>
      </c>
    </row>
    <row r="278" spans="1:13" ht="45" customHeight="1" x14ac:dyDescent="0.25">
      <c r="A278" s="11" t="s">
        <v>197</v>
      </c>
      <c r="B278" s="11" t="s">
        <v>177</v>
      </c>
      <c r="C278" s="11" t="s">
        <v>198</v>
      </c>
      <c r="D278" s="11" t="s">
        <v>87</v>
      </c>
      <c r="E278" s="11" t="s">
        <v>377</v>
      </c>
      <c r="F278" s="11" t="s">
        <v>246</v>
      </c>
      <c r="G278" s="11" t="s">
        <v>262</v>
      </c>
      <c r="H278" s="11" t="s">
        <v>182</v>
      </c>
      <c r="I278" s="11" t="s">
        <v>183</v>
      </c>
      <c r="J278" s="11" t="s">
        <v>184</v>
      </c>
      <c r="K278" s="11" t="s">
        <v>177</v>
      </c>
      <c r="L278" s="11" t="s">
        <v>177</v>
      </c>
      <c r="M278" s="11" t="s">
        <v>177</v>
      </c>
    </row>
    <row r="279" spans="1:13" ht="45" customHeight="1" x14ac:dyDescent="0.25">
      <c r="A279" s="11" t="s">
        <v>194</v>
      </c>
      <c r="B279" s="11" t="s">
        <v>177</v>
      </c>
      <c r="C279" s="11" t="s">
        <v>195</v>
      </c>
      <c r="D279" s="11" t="s">
        <v>87</v>
      </c>
      <c r="E279" s="11" t="s">
        <v>377</v>
      </c>
      <c r="F279" s="11" t="s">
        <v>379</v>
      </c>
      <c r="G279" s="11" t="s">
        <v>262</v>
      </c>
      <c r="H279" s="11" t="s">
        <v>182</v>
      </c>
      <c r="I279" s="11" t="s">
        <v>183</v>
      </c>
      <c r="J279" s="11" t="s">
        <v>184</v>
      </c>
      <c r="K279" s="11" t="s">
        <v>177</v>
      </c>
      <c r="L279" s="11" t="s">
        <v>177</v>
      </c>
      <c r="M279" s="11" t="s">
        <v>177</v>
      </c>
    </row>
    <row r="280" spans="1:13" ht="45" customHeight="1" x14ac:dyDescent="0.25">
      <c r="A280" s="11" t="s">
        <v>176</v>
      </c>
      <c r="B280" s="11" t="s">
        <v>177</v>
      </c>
      <c r="C280" s="11" t="s">
        <v>178</v>
      </c>
      <c r="D280" s="11" t="s">
        <v>87</v>
      </c>
      <c r="E280" s="11" t="s">
        <v>380</v>
      </c>
      <c r="F280" s="11" t="s">
        <v>381</v>
      </c>
      <c r="G280" s="11" t="s">
        <v>279</v>
      </c>
      <c r="H280" s="11" t="s">
        <v>182</v>
      </c>
      <c r="I280" s="11" t="s">
        <v>183</v>
      </c>
      <c r="J280" s="11" t="s">
        <v>184</v>
      </c>
      <c r="K280" s="11" t="s">
        <v>177</v>
      </c>
      <c r="L280" s="11" t="s">
        <v>177</v>
      </c>
      <c r="M280" s="11" t="s">
        <v>177</v>
      </c>
    </row>
    <row r="281" spans="1:13" ht="45" customHeight="1" x14ac:dyDescent="0.25">
      <c r="A281" s="11" t="s">
        <v>191</v>
      </c>
      <c r="B281" s="11" t="s">
        <v>177</v>
      </c>
      <c r="C281" s="11" t="s">
        <v>192</v>
      </c>
      <c r="D281" s="11" t="s">
        <v>87</v>
      </c>
      <c r="E281" s="11" t="s">
        <v>380</v>
      </c>
      <c r="F281" s="11" t="s">
        <v>382</v>
      </c>
      <c r="G281" s="11" t="s">
        <v>279</v>
      </c>
      <c r="H281" s="11" t="s">
        <v>182</v>
      </c>
      <c r="I281" s="11" t="s">
        <v>183</v>
      </c>
      <c r="J281" s="11" t="s">
        <v>184</v>
      </c>
      <c r="K281" s="11" t="s">
        <v>177</v>
      </c>
      <c r="L281" s="11" t="s">
        <v>177</v>
      </c>
      <c r="M281" s="11" t="s">
        <v>177</v>
      </c>
    </row>
    <row r="282" spans="1:13" ht="45" customHeight="1" x14ac:dyDescent="0.25">
      <c r="A282" s="11" t="s">
        <v>312</v>
      </c>
      <c r="B282" s="11" t="s">
        <v>177</v>
      </c>
      <c r="C282" s="11" t="s">
        <v>313</v>
      </c>
      <c r="D282" s="11" t="s">
        <v>87</v>
      </c>
      <c r="E282" s="11" t="s">
        <v>380</v>
      </c>
      <c r="F282" s="11" t="s">
        <v>383</v>
      </c>
      <c r="G282" s="11" t="s">
        <v>279</v>
      </c>
      <c r="H282" s="11" t="s">
        <v>182</v>
      </c>
      <c r="I282" s="11" t="s">
        <v>183</v>
      </c>
      <c r="J282" s="11" t="s">
        <v>184</v>
      </c>
      <c r="K282" s="11" t="s">
        <v>177</v>
      </c>
      <c r="L282" s="11" t="s">
        <v>177</v>
      </c>
      <c r="M282" s="11" t="s">
        <v>177</v>
      </c>
    </row>
    <row r="283" spans="1:13" ht="45" customHeight="1" x14ac:dyDescent="0.25">
      <c r="A283" s="11" t="s">
        <v>200</v>
      </c>
      <c r="B283" s="11" t="s">
        <v>177</v>
      </c>
      <c r="C283" s="11" t="s">
        <v>201</v>
      </c>
      <c r="D283" s="11" t="s">
        <v>87</v>
      </c>
      <c r="E283" s="11" t="s">
        <v>380</v>
      </c>
      <c r="F283" s="11" t="s">
        <v>383</v>
      </c>
      <c r="G283" s="11" t="s">
        <v>279</v>
      </c>
      <c r="H283" s="11" t="s">
        <v>182</v>
      </c>
      <c r="I283" s="11" t="s">
        <v>183</v>
      </c>
      <c r="J283" s="11" t="s">
        <v>184</v>
      </c>
      <c r="K283" s="11" t="s">
        <v>177</v>
      </c>
      <c r="L283" s="11" t="s">
        <v>177</v>
      </c>
      <c r="M283" s="11" t="s">
        <v>177</v>
      </c>
    </row>
    <row r="284" spans="1:13" ht="45" customHeight="1" x14ac:dyDescent="0.25">
      <c r="A284" s="11" t="s">
        <v>194</v>
      </c>
      <c r="B284" s="11" t="s">
        <v>177</v>
      </c>
      <c r="C284" s="11" t="s">
        <v>195</v>
      </c>
      <c r="D284" s="11" t="s">
        <v>87</v>
      </c>
      <c r="E284" s="11" t="s">
        <v>380</v>
      </c>
      <c r="F284" s="11" t="s">
        <v>237</v>
      </c>
      <c r="G284" s="11" t="s">
        <v>279</v>
      </c>
      <c r="H284" s="11" t="s">
        <v>182</v>
      </c>
      <c r="I284" s="11" t="s">
        <v>183</v>
      </c>
      <c r="J284" s="11" t="s">
        <v>184</v>
      </c>
      <c r="K284" s="11" t="s">
        <v>177</v>
      </c>
      <c r="L284" s="11" t="s">
        <v>177</v>
      </c>
      <c r="M284" s="11" t="s">
        <v>177</v>
      </c>
    </row>
    <row r="285" spans="1:13" ht="45" customHeight="1" x14ac:dyDescent="0.25">
      <c r="A285" s="11" t="s">
        <v>197</v>
      </c>
      <c r="B285" s="11" t="s">
        <v>177</v>
      </c>
      <c r="C285" s="11" t="s">
        <v>198</v>
      </c>
      <c r="D285" s="11" t="s">
        <v>87</v>
      </c>
      <c r="E285" s="11" t="s">
        <v>380</v>
      </c>
      <c r="F285" s="11" t="s">
        <v>384</v>
      </c>
      <c r="G285" s="11" t="s">
        <v>279</v>
      </c>
      <c r="H285" s="11" t="s">
        <v>182</v>
      </c>
      <c r="I285" s="11" t="s">
        <v>183</v>
      </c>
      <c r="J285" s="11" t="s">
        <v>184</v>
      </c>
      <c r="K285" s="11" t="s">
        <v>177</v>
      </c>
      <c r="L285" s="11" t="s">
        <v>177</v>
      </c>
      <c r="M285" s="11" t="s">
        <v>177</v>
      </c>
    </row>
    <row r="286" spans="1:13" ht="45" customHeight="1" x14ac:dyDescent="0.25">
      <c r="A286" s="11" t="s">
        <v>194</v>
      </c>
      <c r="B286" s="11" t="s">
        <v>177</v>
      </c>
      <c r="C286" s="11" t="s">
        <v>195</v>
      </c>
      <c r="D286" s="11" t="s">
        <v>87</v>
      </c>
      <c r="E286" s="11" t="s">
        <v>380</v>
      </c>
      <c r="F286" s="11" t="s">
        <v>385</v>
      </c>
      <c r="G286" s="11" t="s">
        <v>279</v>
      </c>
      <c r="H286" s="11" t="s">
        <v>182</v>
      </c>
      <c r="I286" s="11" t="s">
        <v>183</v>
      </c>
      <c r="J286" s="11" t="s">
        <v>184</v>
      </c>
      <c r="K286" s="11" t="s">
        <v>177</v>
      </c>
      <c r="L286" s="11" t="s">
        <v>177</v>
      </c>
      <c r="M286" s="11" t="s">
        <v>177</v>
      </c>
    </row>
    <row r="287" spans="1:13" ht="45" customHeight="1" x14ac:dyDescent="0.25">
      <c r="A287" s="11" t="s">
        <v>185</v>
      </c>
      <c r="B287" s="11" t="s">
        <v>177</v>
      </c>
      <c r="C287" s="11" t="s">
        <v>186</v>
      </c>
      <c r="D287" s="11" t="s">
        <v>87</v>
      </c>
      <c r="E287" s="11" t="s">
        <v>380</v>
      </c>
      <c r="F287" s="11" t="s">
        <v>298</v>
      </c>
      <c r="G287" s="11" t="s">
        <v>279</v>
      </c>
      <c r="H287" s="11" t="s">
        <v>182</v>
      </c>
      <c r="I287" s="11" t="s">
        <v>183</v>
      </c>
      <c r="J287" s="11" t="s">
        <v>184</v>
      </c>
      <c r="K287" s="11" t="s">
        <v>177</v>
      </c>
      <c r="L287" s="11" t="s">
        <v>177</v>
      </c>
      <c r="M287" s="11" t="s">
        <v>177</v>
      </c>
    </row>
    <row r="288" spans="1:13" ht="45" customHeight="1" x14ac:dyDescent="0.25">
      <c r="A288" s="11" t="s">
        <v>217</v>
      </c>
      <c r="B288" s="11" t="s">
        <v>177</v>
      </c>
      <c r="C288" s="11" t="s">
        <v>218</v>
      </c>
      <c r="D288" s="11" t="s">
        <v>87</v>
      </c>
      <c r="E288" s="11" t="s">
        <v>380</v>
      </c>
      <c r="F288" s="11" t="s">
        <v>344</v>
      </c>
      <c r="G288" s="11" t="s">
        <v>279</v>
      </c>
      <c r="H288" s="11" t="s">
        <v>182</v>
      </c>
      <c r="I288" s="11" t="s">
        <v>183</v>
      </c>
      <c r="J288" s="11" t="s">
        <v>184</v>
      </c>
      <c r="K288" s="11" t="s">
        <v>177</v>
      </c>
      <c r="L288" s="11" t="s">
        <v>177</v>
      </c>
      <c r="M288" s="11" t="s">
        <v>177</v>
      </c>
    </row>
    <row r="289" spans="1:13" ht="45" customHeight="1" x14ac:dyDescent="0.25">
      <c r="A289" s="11" t="s">
        <v>200</v>
      </c>
      <c r="B289" s="11" t="s">
        <v>177</v>
      </c>
      <c r="C289" s="11" t="s">
        <v>201</v>
      </c>
      <c r="D289" s="11" t="s">
        <v>87</v>
      </c>
      <c r="E289" s="11" t="s">
        <v>380</v>
      </c>
      <c r="F289" s="11" t="s">
        <v>344</v>
      </c>
      <c r="G289" s="11" t="s">
        <v>279</v>
      </c>
      <c r="H289" s="11" t="s">
        <v>182</v>
      </c>
      <c r="I289" s="11" t="s">
        <v>183</v>
      </c>
      <c r="J289" s="11" t="s">
        <v>184</v>
      </c>
      <c r="K289" s="11" t="s">
        <v>177</v>
      </c>
      <c r="L289" s="11" t="s">
        <v>177</v>
      </c>
      <c r="M289" s="11" t="s">
        <v>177</v>
      </c>
    </row>
    <row r="290" spans="1:13" ht="45" customHeight="1" x14ac:dyDescent="0.25">
      <c r="A290" s="11" t="s">
        <v>176</v>
      </c>
      <c r="B290" s="11" t="s">
        <v>177</v>
      </c>
      <c r="C290" s="11" t="s">
        <v>178</v>
      </c>
      <c r="D290" s="11" t="s">
        <v>87</v>
      </c>
      <c r="E290" s="11" t="s">
        <v>380</v>
      </c>
      <c r="F290" s="11" t="s">
        <v>353</v>
      </c>
      <c r="G290" s="11" t="s">
        <v>279</v>
      </c>
      <c r="H290" s="11" t="s">
        <v>182</v>
      </c>
      <c r="I290" s="11" t="s">
        <v>183</v>
      </c>
      <c r="J290" s="11" t="s">
        <v>184</v>
      </c>
      <c r="K290" s="11" t="s">
        <v>177</v>
      </c>
      <c r="L290" s="11" t="s">
        <v>177</v>
      </c>
      <c r="M290" s="11" t="s">
        <v>177</v>
      </c>
    </row>
    <row r="291" spans="1:13" ht="45" customHeight="1" x14ac:dyDescent="0.25">
      <c r="A291" s="11" t="s">
        <v>194</v>
      </c>
      <c r="B291" s="11" t="s">
        <v>177</v>
      </c>
      <c r="C291" s="11" t="s">
        <v>195</v>
      </c>
      <c r="D291" s="11" t="s">
        <v>87</v>
      </c>
      <c r="E291" s="11" t="s">
        <v>380</v>
      </c>
      <c r="F291" s="11" t="s">
        <v>258</v>
      </c>
      <c r="G291" s="11" t="s">
        <v>279</v>
      </c>
      <c r="H291" s="11" t="s">
        <v>182</v>
      </c>
      <c r="I291" s="11" t="s">
        <v>183</v>
      </c>
      <c r="J291" s="11" t="s">
        <v>184</v>
      </c>
      <c r="K291" s="11" t="s">
        <v>177</v>
      </c>
      <c r="L291" s="11" t="s">
        <v>177</v>
      </c>
      <c r="M291" s="11" t="s">
        <v>177</v>
      </c>
    </row>
    <row r="292" spans="1:13" ht="45" customHeight="1" x14ac:dyDescent="0.25">
      <c r="A292" s="11" t="s">
        <v>176</v>
      </c>
      <c r="B292" s="11" t="s">
        <v>177</v>
      </c>
      <c r="C292" s="11" t="s">
        <v>178</v>
      </c>
      <c r="D292" s="11" t="s">
        <v>87</v>
      </c>
      <c r="E292" s="11" t="s">
        <v>386</v>
      </c>
      <c r="F292" s="11" t="s">
        <v>387</v>
      </c>
      <c r="G292" s="11" t="s">
        <v>181</v>
      </c>
      <c r="H292" s="11" t="s">
        <v>182</v>
      </c>
      <c r="I292" s="11" t="s">
        <v>183</v>
      </c>
      <c r="J292" s="11" t="s">
        <v>184</v>
      </c>
      <c r="K292" s="11" t="s">
        <v>177</v>
      </c>
      <c r="L292" s="11" t="s">
        <v>177</v>
      </c>
      <c r="M292" s="11" t="s">
        <v>177</v>
      </c>
    </row>
    <row r="293" spans="1:13" ht="45" customHeight="1" x14ac:dyDescent="0.25">
      <c r="A293" s="11" t="s">
        <v>185</v>
      </c>
      <c r="B293" s="11" t="s">
        <v>177</v>
      </c>
      <c r="C293" s="11" t="s">
        <v>186</v>
      </c>
      <c r="D293" s="11" t="s">
        <v>87</v>
      </c>
      <c r="E293" s="11" t="s">
        <v>386</v>
      </c>
      <c r="F293" s="11" t="s">
        <v>263</v>
      </c>
      <c r="G293" s="11" t="s">
        <v>181</v>
      </c>
      <c r="H293" s="11" t="s">
        <v>182</v>
      </c>
      <c r="I293" s="11" t="s">
        <v>183</v>
      </c>
      <c r="J293" s="11" t="s">
        <v>184</v>
      </c>
      <c r="K293" s="11" t="s">
        <v>177</v>
      </c>
      <c r="L293" s="11" t="s">
        <v>177</v>
      </c>
      <c r="M293" s="11" t="s">
        <v>177</v>
      </c>
    </row>
    <row r="294" spans="1:13" ht="45" customHeight="1" x14ac:dyDescent="0.25">
      <c r="A294" s="11" t="s">
        <v>191</v>
      </c>
      <c r="B294" s="11" t="s">
        <v>177</v>
      </c>
      <c r="C294" s="11" t="s">
        <v>192</v>
      </c>
      <c r="D294" s="11" t="s">
        <v>87</v>
      </c>
      <c r="E294" s="11" t="s">
        <v>386</v>
      </c>
      <c r="F294" s="11" t="s">
        <v>388</v>
      </c>
      <c r="G294" s="11" t="s">
        <v>181</v>
      </c>
      <c r="H294" s="11" t="s">
        <v>182</v>
      </c>
      <c r="I294" s="11" t="s">
        <v>183</v>
      </c>
      <c r="J294" s="11" t="s">
        <v>184</v>
      </c>
      <c r="K294" s="11" t="s">
        <v>177</v>
      </c>
      <c r="L294" s="11" t="s">
        <v>177</v>
      </c>
      <c r="M294" s="11" t="s">
        <v>177</v>
      </c>
    </row>
    <row r="295" spans="1:13" ht="45" customHeight="1" x14ac:dyDescent="0.25">
      <c r="A295" s="11" t="s">
        <v>194</v>
      </c>
      <c r="B295" s="11" t="s">
        <v>177</v>
      </c>
      <c r="C295" s="11" t="s">
        <v>195</v>
      </c>
      <c r="D295" s="11" t="s">
        <v>87</v>
      </c>
      <c r="E295" s="11" t="s">
        <v>386</v>
      </c>
      <c r="F295" s="11" t="s">
        <v>236</v>
      </c>
      <c r="G295" s="11" t="s">
        <v>181</v>
      </c>
      <c r="H295" s="11" t="s">
        <v>182</v>
      </c>
      <c r="I295" s="11" t="s">
        <v>183</v>
      </c>
      <c r="J295" s="11" t="s">
        <v>184</v>
      </c>
      <c r="K295" s="11" t="s">
        <v>177</v>
      </c>
      <c r="L295" s="11" t="s">
        <v>177</v>
      </c>
      <c r="M295" s="11" t="s">
        <v>177</v>
      </c>
    </row>
    <row r="296" spans="1:13" ht="45" customHeight="1" x14ac:dyDescent="0.25">
      <c r="A296" s="11" t="s">
        <v>197</v>
      </c>
      <c r="B296" s="11" t="s">
        <v>177</v>
      </c>
      <c r="C296" s="11" t="s">
        <v>198</v>
      </c>
      <c r="D296" s="11" t="s">
        <v>87</v>
      </c>
      <c r="E296" s="11" t="s">
        <v>386</v>
      </c>
      <c r="F296" s="11" t="s">
        <v>389</v>
      </c>
      <c r="G296" s="11" t="s">
        <v>181</v>
      </c>
      <c r="H296" s="11" t="s">
        <v>182</v>
      </c>
      <c r="I296" s="11" t="s">
        <v>183</v>
      </c>
      <c r="J296" s="11" t="s">
        <v>184</v>
      </c>
      <c r="K296" s="11" t="s">
        <v>177</v>
      </c>
      <c r="L296" s="11" t="s">
        <v>177</v>
      </c>
      <c r="M296" s="11" t="s">
        <v>177</v>
      </c>
    </row>
    <row r="297" spans="1:13" ht="45" customHeight="1" x14ac:dyDescent="0.25">
      <c r="A297" s="11" t="s">
        <v>194</v>
      </c>
      <c r="B297" s="11" t="s">
        <v>177</v>
      </c>
      <c r="C297" s="11" t="s">
        <v>195</v>
      </c>
      <c r="D297" s="11" t="s">
        <v>87</v>
      </c>
      <c r="E297" s="11" t="s">
        <v>386</v>
      </c>
      <c r="F297" s="11" t="s">
        <v>390</v>
      </c>
      <c r="G297" s="11" t="s">
        <v>181</v>
      </c>
      <c r="H297" s="11" t="s">
        <v>182</v>
      </c>
      <c r="I297" s="11" t="s">
        <v>183</v>
      </c>
      <c r="J297" s="11" t="s">
        <v>184</v>
      </c>
      <c r="K297" s="11" t="s">
        <v>177</v>
      </c>
      <c r="L297" s="11" t="s">
        <v>177</v>
      </c>
      <c r="M297" s="11" t="s">
        <v>177</v>
      </c>
    </row>
    <row r="298" spans="1:13" ht="45" customHeight="1" x14ac:dyDescent="0.25">
      <c r="A298" s="11" t="s">
        <v>197</v>
      </c>
      <c r="B298" s="11" t="s">
        <v>177</v>
      </c>
      <c r="C298" s="11" t="s">
        <v>198</v>
      </c>
      <c r="D298" s="11" t="s">
        <v>87</v>
      </c>
      <c r="E298" s="11" t="s">
        <v>386</v>
      </c>
      <c r="F298" s="11" t="s">
        <v>391</v>
      </c>
      <c r="G298" s="11" t="s">
        <v>181</v>
      </c>
      <c r="H298" s="11" t="s">
        <v>182</v>
      </c>
      <c r="I298" s="11" t="s">
        <v>183</v>
      </c>
      <c r="J298" s="11" t="s">
        <v>184</v>
      </c>
      <c r="K298" s="11" t="s">
        <v>177</v>
      </c>
      <c r="L298" s="11" t="s">
        <v>177</v>
      </c>
      <c r="M298" s="11" t="s">
        <v>177</v>
      </c>
    </row>
    <row r="299" spans="1:13" ht="45" customHeight="1" x14ac:dyDescent="0.25">
      <c r="A299" s="11" t="s">
        <v>200</v>
      </c>
      <c r="B299" s="11" t="s">
        <v>177</v>
      </c>
      <c r="C299" s="11" t="s">
        <v>201</v>
      </c>
      <c r="D299" s="11" t="s">
        <v>87</v>
      </c>
      <c r="E299" s="11" t="s">
        <v>386</v>
      </c>
      <c r="F299" s="11" t="s">
        <v>392</v>
      </c>
      <c r="G299" s="11" t="s">
        <v>181</v>
      </c>
      <c r="H299" s="11" t="s">
        <v>182</v>
      </c>
      <c r="I299" s="11" t="s">
        <v>183</v>
      </c>
      <c r="J299" s="11" t="s">
        <v>184</v>
      </c>
      <c r="K299" s="11" t="s">
        <v>177</v>
      </c>
      <c r="L299" s="11" t="s">
        <v>177</v>
      </c>
      <c r="M299" s="11" t="s">
        <v>177</v>
      </c>
    </row>
    <row r="300" spans="1:13" ht="45" customHeight="1" x14ac:dyDescent="0.25">
      <c r="A300" s="11" t="s">
        <v>191</v>
      </c>
      <c r="B300" s="11" t="s">
        <v>177</v>
      </c>
      <c r="C300" s="11" t="s">
        <v>192</v>
      </c>
      <c r="D300" s="11" t="s">
        <v>87</v>
      </c>
      <c r="E300" s="11" t="s">
        <v>386</v>
      </c>
      <c r="F300" s="11" t="s">
        <v>242</v>
      </c>
      <c r="G300" s="11" t="s">
        <v>181</v>
      </c>
      <c r="H300" s="11" t="s">
        <v>182</v>
      </c>
      <c r="I300" s="11" t="s">
        <v>183</v>
      </c>
      <c r="J300" s="11" t="s">
        <v>184</v>
      </c>
      <c r="K300" s="11" t="s">
        <v>177</v>
      </c>
      <c r="L300" s="11" t="s">
        <v>177</v>
      </c>
      <c r="M300" s="11" t="s">
        <v>177</v>
      </c>
    </row>
    <row r="301" spans="1:13" ht="45" customHeight="1" x14ac:dyDescent="0.25">
      <c r="A301" s="11" t="s">
        <v>185</v>
      </c>
      <c r="B301" s="11" t="s">
        <v>177</v>
      </c>
      <c r="C301" s="11" t="s">
        <v>186</v>
      </c>
      <c r="D301" s="11" t="s">
        <v>87</v>
      </c>
      <c r="E301" s="11" t="s">
        <v>386</v>
      </c>
      <c r="F301" s="11" t="s">
        <v>228</v>
      </c>
      <c r="G301" s="11" t="s">
        <v>181</v>
      </c>
      <c r="H301" s="11" t="s">
        <v>182</v>
      </c>
      <c r="I301" s="11" t="s">
        <v>183</v>
      </c>
      <c r="J301" s="11" t="s">
        <v>184</v>
      </c>
      <c r="K301" s="11" t="s">
        <v>177</v>
      </c>
      <c r="L301" s="11" t="s">
        <v>177</v>
      </c>
      <c r="M301" s="11" t="s">
        <v>177</v>
      </c>
    </row>
    <row r="302" spans="1:13" ht="45" customHeight="1" x14ac:dyDescent="0.25">
      <c r="A302" s="11" t="s">
        <v>176</v>
      </c>
      <c r="B302" s="11" t="s">
        <v>177</v>
      </c>
      <c r="C302" s="11" t="s">
        <v>178</v>
      </c>
      <c r="D302" s="11" t="s">
        <v>87</v>
      </c>
      <c r="E302" s="11" t="s">
        <v>386</v>
      </c>
      <c r="F302" s="11" t="s">
        <v>393</v>
      </c>
      <c r="G302" s="11" t="s">
        <v>181</v>
      </c>
      <c r="H302" s="11" t="s">
        <v>182</v>
      </c>
      <c r="I302" s="11" t="s">
        <v>183</v>
      </c>
      <c r="J302" s="11" t="s">
        <v>184</v>
      </c>
      <c r="K302" s="11" t="s">
        <v>177</v>
      </c>
      <c r="L302" s="11" t="s">
        <v>177</v>
      </c>
      <c r="M302" s="11" t="s">
        <v>177</v>
      </c>
    </row>
    <row r="303" spans="1:13" ht="45" customHeight="1" x14ac:dyDescent="0.25">
      <c r="A303" s="11" t="s">
        <v>194</v>
      </c>
      <c r="B303" s="11" t="s">
        <v>177</v>
      </c>
      <c r="C303" s="11" t="s">
        <v>195</v>
      </c>
      <c r="D303" s="11" t="s">
        <v>87</v>
      </c>
      <c r="E303" s="11" t="s">
        <v>386</v>
      </c>
      <c r="F303" s="11" t="s">
        <v>394</v>
      </c>
      <c r="G303" s="11" t="s">
        <v>181</v>
      </c>
      <c r="H303" s="11" t="s">
        <v>182</v>
      </c>
      <c r="I303" s="11" t="s">
        <v>183</v>
      </c>
      <c r="J303" s="11" t="s">
        <v>184</v>
      </c>
      <c r="K303" s="11" t="s">
        <v>177</v>
      </c>
      <c r="L303" s="11" t="s">
        <v>177</v>
      </c>
      <c r="M303" s="11" t="s">
        <v>177</v>
      </c>
    </row>
    <row r="304" spans="1:13" ht="45" customHeight="1" x14ac:dyDescent="0.25">
      <c r="A304" s="11" t="s">
        <v>197</v>
      </c>
      <c r="B304" s="11" t="s">
        <v>177</v>
      </c>
      <c r="C304" s="11" t="s">
        <v>198</v>
      </c>
      <c r="D304" s="11" t="s">
        <v>87</v>
      </c>
      <c r="E304" s="11" t="s">
        <v>386</v>
      </c>
      <c r="F304" s="11" t="s">
        <v>395</v>
      </c>
      <c r="G304" s="11" t="s">
        <v>181</v>
      </c>
      <c r="H304" s="11" t="s">
        <v>182</v>
      </c>
      <c r="I304" s="11" t="s">
        <v>183</v>
      </c>
      <c r="J304" s="11" t="s">
        <v>184</v>
      </c>
      <c r="K304" s="11" t="s">
        <v>177</v>
      </c>
      <c r="L304" s="11" t="s">
        <v>177</v>
      </c>
      <c r="M304" s="11" t="s">
        <v>177</v>
      </c>
    </row>
    <row r="305" spans="1:13" ht="45" customHeight="1" x14ac:dyDescent="0.25">
      <c r="A305" s="11" t="s">
        <v>176</v>
      </c>
      <c r="B305" s="11" t="s">
        <v>177</v>
      </c>
      <c r="C305" s="11" t="s">
        <v>178</v>
      </c>
      <c r="D305" s="11" t="s">
        <v>87</v>
      </c>
      <c r="E305" s="11" t="s">
        <v>396</v>
      </c>
      <c r="F305" s="11" t="s">
        <v>397</v>
      </c>
      <c r="G305" s="11" t="s">
        <v>212</v>
      </c>
      <c r="H305" s="11" t="s">
        <v>182</v>
      </c>
      <c r="I305" s="11" t="s">
        <v>183</v>
      </c>
      <c r="J305" s="11" t="s">
        <v>184</v>
      </c>
      <c r="K305" s="11" t="s">
        <v>177</v>
      </c>
      <c r="L305" s="11" t="s">
        <v>177</v>
      </c>
      <c r="M305" s="11" t="s">
        <v>177</v>
      </c>
    </row>
    <row r="306" spans="1:13" ht="45" customHeight="1" x14ac:dyDescent="0.25">
      <c r="A306" s="11" t="s">
        <v>185</v>
      </c>
      <c r="B306" s="11" t="s">
        <v>177</v>
      </c>
      <c r="C306" s="11" t="s">
        <v>186</v>
      </c>
      <c r="D306" s="11" t="s">
        <v>87</v>
      </c>
      <c r="E306" s="11" t="s">
        <v>396</v>
      </c>
      <c r="F306" s="11" t="s">
        <v>280</v>
      </c>
      <c r="G306" s="11" t="s">
        <v>212</v>
      </c>
      <c r="H306" s="11" t="s">
        <v>182</v>
      </c>
      <c r="I306" s="11" t="s">
        <v>183</v>
      </c>
      <c r="J306" s="11" t="s">
        <v>184</v>
      </c>
      <c r="K306" s="11" t="s">
        <v>177</v>
      </c>
      <c r="L306" s="11" t="s">
        <v>177</v>
      </c>
      <c r="M306" s="11" t="s">
        <v>177</v>
      </c>
    </row>
    <row r="307" spans="1:13" ht="45" customHeight="1" x14ac:dyDescent="0.25">
      <c r="A307" s="11" t="s">
        <v>200</v>
      </c>
      <c r="B307" s="11" t="s">
        <v>177</v>
      </c>
      <c r="C307" s="11" t="s">
        <v>201</v>
      </c>
      <c r="D307" s="11" t="s">
        <v>87</v>
      </c>
      <c r="E307" s="11" t="s">
        <v>396</v>
      </c>
      <c r="F307" s="11" t="s">
        <v>216</v>
      </c>
      <c r="G307" s="11" t="s">
        <v>212</v>
      </c>
      <c r="H307" s="11" t="s">
        <v>182</v>
      </c>
      <c r="I307" s="11" t="s">
        <v>183</v>
      </c>
      <c r="J307" s="11" t="s">
        <v>184</v>
      </c>
      <c r="K307" s="11" t="s">
        <v>177</v>
      </c>
      <c r="L307" s="11" t="s">
        <v>177</v>
      </c>
      <c r="M307" s="11" t="s">
        <v>177</v>
      </c>
    </row>
    <row r="308" spans="1:13" ht="45" customHeight="1" x14ac:dyDescent="0.25">
      <c r="A308" s="11" t="s">
        <v>217</v>
      </c>
      <c r="B308" s="11" t="s">
        <v>177</v>
      </c>
      <c r="C308" s="11" t="s">
        <v>218</v>
      </c>
      <c r="D308" s="11" t="s">
        <v>87</v>
      </c>
      <c r="E308" s="11" t="s">
        <v>396</v>
      </c>
      <c r="F308" s="11" t="s">
        <v>398</v>
      </c>
      <c r="G308" s="11" t="s">
        <v>212</v>
      </c>
      <c r="H308" s="11" t="s">
        <v>182</v>
      </c>
      <c r="I308" s="11" t="s">
        <v>183</v>
      </c>
      <c r="J308" s="11" t="s">
        <v>184</v>
      </c>
      <c r="K308" s="11" t="s">
        <v>177</v>
      </c>
      <c r="L308" s="11" t="s">
        <v>177</v>
      </c>
      <c r="M308" s="11" t="s">
        <v>177</v>
      </c>
    </row>
    <row r="309" spans="1:13" ht="45" customHeight="1" x14ac:dyDescent="0.25">
      <c r="A309" s="11" t="s">
        <v>191</v>
      </c>
      <c r="B309" s="11" t="s">
        <v>177</v>
      </c>
      <c r="C309" s="11" t="s">
        <v>192</v>
      </c>
      <c r="D309" s="11" t="s">
        <v>87</v>
      </c>
      <c r="E309" s="11" t="s">
        <v>396</v>
      </c>
      <c r="F309" s="11" t="s">
        <v>398</v>
      </c>
      <c r="G309" s="11" t="s">
        <v>212</v>
      </c>
      <c r="H309" s="11" t="s">
        <v>182</v>
      </c>
      <c r="I309" s="11" t="s">
        <v>183</v>
      </c>
      <c r="J309" s="11" t="s">
        <v>184</v>
      </c>
      <c r="K309" s="11" t="s">
        <v>177</v>
      </c>
      <c r="L309" s="11" t="s">
        <v>177</v>
      </c>
      <c r="M309" s="11" t="s">
        <v>177</v>
      </c>
    </row>
    <row r="310" spans="1:13" ht="45" customHeight="1" x14ac:dyDescent="0.25">
      <c r="A310" s="11" t="s">
        <v>312</v>
      </c>
      <c r="B310" s="11" t="s">
        <v>177</v>
      </c>
      <c r="C310" s="11" t="s">
        <v>313</v>
      </c>
      <c r="D310" s="11" t="s">
        <v>87</v>
      </c>
      <c r="E310" s="11" t="s">
        <v>396</v>
      </c>
      <c r="F310" s="11" t="s">
        <v>399</v>
      </c>
      <c r="G310" s="11" t="s">
        <v>212</v>
      </c>
      <c r="H310" s="11" t="s">
        <v>182</v>
      </c>
      <c r="I310" s="11" t="s">
        <v>183</v>
      </c>
      <c r="J310" s="11" t="s">
        <v>184</v>
      </c>
      <c r="K310" s="11" t="s">
        <v>177</v>
      </c>
      <c r="L310" s="11" t="s">
        <v>177</v>
      </c>
      <c r="M310" s="11" t="s">
        <v>177</v>
      </c>
    </row>
    <row r="311" spans="1:13" ht="45" customHeight="1" x14ac:dyDescent="0.25">
      <c r="A311" s="11" t="s">
        <v>197</v>
      </c>
      <c r="B311" s="11" t="s">
        <v>177</v>
      </c>
      <c r="C311" s="11" t="s">
        <v>198</v>
      </c>
      <c r="D311" s="11" t="s">
        <v>87</v>
      </c>
      <c r="E311" s="11" t="s">
        <v>396</v>
      </c>
      <c r="F311" s="11" t="s">
        <v>220</v>
      </c>
      <c r="G311" s="11" t="s">
        <v>212</v>
      </c>
      <c r="H311" s="11" t="s">
        <v>182</v>
      </c>
      <c r="I311" s="11" t="s">
        <v>183</v>
      </c>
      <c r="J311" s="11" t="s">
        <v>184</v>
      </c>
      <c r="K311" s="11" t="s">
        <v>177</v>
      </c>
      <c r="L311" s="11" t="s">
        <v>177</v>
      </c>
      <c r="M311" s="11" t="s">
        <v>177</v>
      </c>
    </row>
    <row r="312" spans="1:13" ht="45" customHeight="1" x14ac:dyDescent="0.25">
      <c r="A312" s="11" t="s">
        <v>197</v>
      </c>
      <c r="B312" s="11" t="s">
        <v>177</v>
      </c>
      <c r="C312" s="11" t="s">
        <v>198</v>
      </c>
      <c r="D312" s="11" t="s">
        <v>87</v>
      </c>
      <c r="E312" s="11" t="s">
        <v>396</v>
      </c>
      <c r="F312" s="11" t="s">
        <v>255</v>
      </c>
      <c r="G312" s="11" t="s">
        <v>212</v>
      </c>
      <c r="H312" s="11" t="s">
        <v>182</v>
      </c>
      <c r="I312" s="11" t="s">
        <v>183</v>
      </c>
      <c r="J312" s="11" t="s">
        <v>184</v>
      </c>
      <c r="K312" s="11" t="s">
        <v>177</v>
      </c>
      <c r="L312" s="11" t="s">
        <v>177</v>
      </c>
      <c r="M312" s="11" t="s">
        <v>177</v>
      </c>
    </row>
    <row r="313" spans="1:13" ht="45" customHeight="1" x14ac:dyDescent="0.25">
      <c r="A313" s="11" t="s">
        <v>194</v>
      </c>
      <c r="B313" s="11" t="s">
        <v>177</v>
      </c>
      <c r="C313" s="11" t="s">
        <v>195</v>
      </c>
      <c r="D313" s="11" t="s">
        <v>87</v>
      </c>
      <c r="E313" s="11" t="s">
        <v>396</v>
      </c>
      <c r="F313" s="11" t="s">
        <v>400</v>
      </c>
      <c r="G313" s="11" t="s">
        <v>212</v>
      </c>
      <c r="H313" s="11" t="s">
        <v>182</v>
      </c>
      <c r="I313" s="11" t="s">
        <v>183</v>
      </c>
      <c r="J313" s="11" t="s">
        <v>184</v>
      </c>
      <c r="K313" s="11" t="s">
        <v>177</v>
      </c>
      <c r="L313" s="11" t="s">
        <v>177</v>
      </c>
      <c r="M313" s="11" t="s">
        <v>177</v>
      </c>
    </row>
    <row r="314" spans="1:13" ht="45" customHeight="1" x14ac:dyDescent="0.25">
      <c r="A314" s="11" t="s">
        <v>197</v>
      </c>
      <c r="B314" s="11" t="s">
        <v>177</v>
      </c>
      <c r="C314" s="11" t="s">
        <v>198</v>
      </c>
      <c r="D314" s="11" t="s">
        <v>87</v>
      </c>
      <c r="E314" s="11" t="s">
        <v>396</v>
      </c>
      <c r="F314" s="11" t="s">
        <v>401</v>
      </c>
      <c r="G314" s="11" t="s">
        <v>212</v>
      </c>
      <c r="H314" s="11" t="s">
        <v>182</v>
      </c>
      <c r="I314" s="11" t="s">
        <v>183</v>
      </c>
      <c r="J314" s="11" t="s">
        <v>184</v>
      </c>
      <c r="K314" s="11" t="s">
        <v>177</v>
      </c>
      <c r="L314" s="11" t="s">
        <v>177</v>
      </c>
      <c r="M314" s="11" t="s">
        <v>177</v>
      </c>
    </row>
    <row r="315" spans="1:13" ht="45" customHeight="1" x14ac:dyDescent="0.25">
      <c r="A315" s="11" t="s">
        <v>191</v>
      </c>
      <c r="B315" s="11" t="s">
        <v>177</v>
      </c>
      <c r="C315" s="11" t="s">
        <v>192</v>
      </c>
      <c r="D315" s="11" t="s">
        <v>87</v>
      </c>
      <c r="E315" s="11" t="s">
        <v>396</v>
      </c>
      <c r="F315" s="11" t="s">
        <v>402</v>
      </c>
      <c r="G315" s="11" t="s">
        <v>212</v>
      </c>
      <c r="H315" s="11" t="s">
        <v>182</v>
      </c>
      <c r="I315" s="11" t="s">
        <v>183</v>
      </c>
      <c r="J315" s="11" t="s">
        <v>184</v>
      </c>
      <c r="K315" s="11" t="s">
        <v>177</v>
      </c>
      <c r="L315" s="11" t="s">
        <v>177</v>
      </c>
      <c r="M315" s="11" t="s">
        <v>177</v>
      </c>
    </row>
    <row r="316" spans="1:13" ht="45" customHeight="1" x14ac:dyDescent="0.25">
      <c r="A316" s="11" t="s">
        <v>217</v>
      </c>
      <c r="B316" s="11" t="s">
        <v>177</v>
      </c>
      <c r="C316" s="11" t="s">
        <v>218</v>
      </c>
      <c r="D316" s="11" t="s">
        <v>87</v>
      </c>
      <c r="E316" s="11" t="s">
        <v>396</v>
      </c>
      <c r="F316" s="11" t="s">
        <v>206</v>
      </c>
      <c r="G316" s="11" t="s">
        <v>212</v>
      </c>
      <c r="H316" s="11" t="s">
        <v>182</v>
      </c>
      <c r="I316" s="11" t="s">
        <v>183</v>
      </c>
      <c r="J316" s="11" t="s">
        <v>184</v>
      </c>
      <c r="K316" s="11" t="s">
        <v>177</v>
      </c>
      <c r="L316" s="11" t="s">
        <v>177</v>
      </c>
      <c r="M316" s="11" t="s">
        <v>177</v>
      </c>
    </row>
    <row r="317" spans="1:13" ht="45" customHeight="1" x14ac:dyDescent="0.25">
      <c r="A317" s="11" t="s">
        <v>185</v>
      </c>
      <c r="B317" s="11" t="s">
        <v>177</v>
      </c>
      <c r="C317" s="11" t="s">
        <v>186</v>
      </c>
      <c r="D317" s="11" t="s">
        <v>87</v>
      </c>
      <c r="E317" s="11" t="s">
        <v>396</v>
      </c>
      <c r="F317" s="11" t="s">
        <v>403</v>
      </c>
      <c r="G317" s="11" t="s">
        <v>212</v>
      </c>
      <c r="H317" s="11" t="s">
        <v>182</v>
      </c>
      <c r="I317" s="11" t="s">
        <v>183</v>
      </c>
      <c r="J317" s="11" t="s">
        <v>184</v>
      </c>
      <c r="K317" s="11" t="s">
        <v>177</v>
      </c>
      <c r="L317" s="11" t="s">
        <v>177</v>
      </c>
      <c r="M317" s="11" t="s">
        <v>177</v>
      </c>
    </row>
    <row r="318" spans="1:13" ht="45" customHeight="1" x14ac:dyDescent="0.25">
      <c r="A318" s="11" t="s">
        <v>197</v>
      </c>
      <c r="B318" s="11" t="s">
        <v>177</v>
      </c>
      <c r="C318" s="11" t="s">
        <v>198</v>
      </c>
      <c r="D318" s="11" t="s">
        <v>87</v>
      </c>
      <c r="E318" s="11" t="s">
        <v>396</v>
      </c>
      <c r="F318" s="11" t="s">
        <v>404</v>
      </c>
      <c r="G318" s="11" t="s">
        <v>212</v>
      </c>
      <c r="H318" s="11" t="s">
        <v>182</v>
      </c>
      <c r="I318" s="11" t="s">
        <v>183</v>
      </c>
      <c r="J318" s="11" t="s">
        <v>184</v>
      </c>
      <c r="K318" s="11" t="s">
        <v>177</v>
      </c>
      <c r="L318" s="11" t="s">
        <v>177</v>
      </c>
      <c r="M318" s="11" t="s">
        <v>177</v>
      </c>
    </row>
    <row r="319" spans="1:13" ht="45" customHeight="1" x14ac:dyDescent="0.25">
      <c r="A319" s="11" t="s">
        <v>176</v>
      </c>
      <c r="B319" s="11" t="s">
        <v>177</v>
      </c>
      <c r="C319" s="11" t="s">
        <v>178</v>
      </c>
      <c r="D319" s="11" t="s">
        <v>87</v>
      </c>
      <c r="E319" s="11" t="s">
        <v>405</v>
      </c>
      <c r="F319" s="11" t="s">
        <v>180</v>
      </c>
      <c r="G319" s="11" t="s">
        <v>234</v>
      </c>
      <c r="H319" s="11" t="s">
        <v>182</v>
      </c>
      <c r="I319" s="11" t="s">
        <v>183</v>
      </c>
      <c r="J319" s="11" t="s">
        <v>184</v>
      </c>
      <c r="K319" s="11" t="s">
        <v>177</v>
      </c>
      <c r="L319" s="11" t="s">
        <v>177</v>
      </c>
      <c r="M319" s="11" t="s">
        <v>177</v>
      </c>
    </row>
    <row r="320" spans="1:13" ht="45" customHeight="1" x14ac:dyDescent="0.25">
      <c r="A320" s="11" t="s">
        <v>176</v>
      </c>
      <c r="B320" s="11" t="s">
        <v>177</v>
      </c>
      <c r="C320" s="11" t="s">
        <v>178</v>
      </c>
      <c r="D320" s="11" t="s">
        <v>87</v>
      </c>
      <c r="E320" s="11" t="s">
        <v>405</v>
      </c>
      <c r="F320" s="11" t="s">
        <v>180</v>
      </c>
      <c r="G320" s="11" t="s">
        <v>234</v>
      </c>
      <c r="H320" s="11" t="s">
        <v>182</v>
      </c>
      <c r="I320" s="11" t="s">
        <v>183</v>
      </c>
      <c r="J320" s="11" t="s">
        <v>184</v>
      </c>
      <c r="K320" s="11" t="s">
        <v>177</v>
      </c>
      <c r="L320" s="11" t="s">
        <v>177</v>
      </c>
      <c r="M320" s="11" t="s">
        <v>177</v>
      </c>
    </row>
    <row r="321" spans="1:13" ht="45" customHeight="1" x14ac:dyDescent="0.25">
      <c r="A321" s="11" t="s">
        <v>176</v>
      </c>
      <c r="B321" s="11" t="s">
        <v>177</v>
      </c>
      <c r="C321" s="11" t="s">
        <v>178</v>
      </c>
      <c r="D321" s="11" t="s">
        <v>87</v>
      </c>
      <c r="E321" s="11" t="s">
        <v>405</v>
      </c>
      <c r="F321" s="11" t="s">
        <v>180</v>
      </c>
      <c r="G321" s="11" t="s">
        <v>234</v>
      </c>
      <c r="H321" s="11" t="s">
        <v>182</v>
      </c>
      <c r="I321" s="11" t="s">
        <v>183</v>
      </c>
      <c r="J321" s="11" t="s">
        <v>184</v>
      </c>
      <c r="K321" s="11" t="s">
        <v>177</v>
      </c>
      <c r="L321" s="11" t="s">
        <v>177</v>
      </c>
      <c r="M321" s="11" t="s">
        <v>177</v>
      </c>
    </row>
    <row r="322" spans="1:13" ht="45" customHeight="1" x14ac:dyDescent="0.25">
      <c r="A322" s="11" t="s">
        <v>191</v>
      </c>
      <c r="B322" s="11" t="s">
        <v>177</v>
      </c>
      <c r="C322" s="11" t="s">
        <v>192</v>
      </c>
      <c r="D322" s="11" t="s">
        <v>87</v>
      </c>
      <c r="E322" s="11" t="s">
        <v>405</v>
      </c>
      <c r="F322" s="11" t="s">
        <v>280</v>
      </c>
      <c r="G322" s="11" t="s">
        <v>234</v>
      </c>
      <c r="H322" s="11" t="s">
        <v>182</v>
      </c>
      <c r="I322" s="11" t="s">
        <v>183</v>
      </c>
      <c r="J322" s="11" t="s">
        <v>184</v>
      </c>
      <c r="K322" s="11" t="s">
        <v>177</v>
      </c>
      <c r="L322" s="11" t="s">
        <v>177</v>
      </c>
      <c r="M322" s="11" t="s">
        <v>177</v>
      </c>
    </row>
    <row r="323" spans="1:13" ht="45" customHeight="1" x14ac:dyDescent="0.25">
      <c r="A323" s="11" t="s">
        <v>185</v>
      </c>
      <c r="B323" s="11" t="s">
        <v>177</v>
      </c>
      <c r="C323" s="11" t="s">
        <v>186</v>
      </c>
      <c r="D323" s="11" t="s">
        <v>87</v>
      </c>
      <c r="E323" s="11" t="s">
        <v>405</v>
      </c>
      <c r="F323" s="11" t="s">
        <v>303</v>
      </c>
      <c r="G323" s="11" t="s">
        <v>234</v>
      </c>
      <c r="H323" s="11" t="s">
        <v>182</v>
      </c>
      <c r="I323" s="11" t="s">
        <v>183</v>
      </c>
      <c r="J323" s="11" t="s">
        <v>184</v>
      </c>
      <c r="K323" s="11" t="s">
        <v>177</v>
      </c>
      <c r="L323" s="11" t="s">
        <v>177</v>
      </c>
      <c r="M323" s="11" t="s">
        <v>177</v>
      </c>
    </row>
    <row r="324" spans="1:13" ht="45" customHeight="1" x14ac:dyDescent="0.25">
      <c r="A324" s="11" t="s">
        <v>200</v>
      </c>
      <c r="B324" s="11" t="s">
        <v>177</v>
      </c>
      <c r="C324" s="11" t="s">
        <v>201</v>
      </c>
      <c r="D324" s="11" t="s">
        <v>87</v>
      </c>
      <c r="E324" s="11" t="s">
        <v>405</v>
      </c>
      <c r="F324" s="11" t="s">
        <v>398</v>
      </c>
      <c r="G324" s="11" t="s">
        <v>234</v>
      </c>
      <c r="H324" s="11" t="s">
        <v>182</v>
      </c>
      <c r="I324" s="11" t="s">
        <v>183</v>
      </c>
      <c r="J324" s="11" t="s">
        <v>184</v>
      </c>
      <c r="K324" s="11" t="s">
        <v>177</v>
      </c>
      <c r="L324" s="11" t="s">
        <v>177</v>
      </c>
      <c r="M324" s="11" t="s">
        <v>177</v>
      </c>
    </row>
    <row r="325" spans="1:13" ht="45" customHeight="1" x14ac:dyDescent="0.25">
      <c r="A325" s="11" t="s">
        <v>194</v>
      </c>
      <c r="B325" s="11" t="s">
        <v>177</v>
      </c>
      <c r="C325" s="11" t="s">
        <v>195</v>
      </c>
      <c r="D325" s="11" t="s">
        <v>87</v>
      </c>
      <c r="E325" s="11" t="s">
        <v>405</v>
      </c>
      <c r="F325" s="11" t="s">
        <v>398</v>
      </c>
      <c r="G325" s="11" t="s">
        <v>234</v>
      </c>
      <c r="H325" s="11" t="s">
        <v>182</v>
      </c>
      <c r="I325" s="11" t="s">
        <v>183</v>
      </c>
      <c r="J325" s="11" t="s">
        <v>184</v>
      </c>
      <c r="K325" s="11" t="s">
        <v>177</v>
      </c>
      <c r="L325" s="11" t="s">
        <v>177</v>
      </c>
      <c r="M325" s="11" t="s">
        <v>177</v>
      </c>
    </row>
    <row r="326" spans="1:13" ht="45" customHeight="1" x14ac:dyDescent="0.25">
      <c r="A326" s="11" t="s">
        <v>197</v>
      </c>
      <c r="B326" s="11" t="s">
        <v>177</v>
      </c>
      <c r="C326" s="11" t="s">
        <v>198</v>
      </c>
      <c r="D326" s="11" t="s">
        <v>87</v>
      </c>
      <c r="E326" s="11" t="s">
        <v>405</v>
      </c>
      <c r="F326" s="11" t="s">
        <v>235</v>
      </c>
      <c r="G326" s="11" t="s">
        <v>234</v>
      </c>
      <c r="H326" s="11" t="s">
        <v>182</v>
      </c>
      <c r="I326" s="11" t="s">
        <v>183</v>
      </c>
      <c r="J326" s="11" t="s">
        <v>184</v>
      </c>
      <c r="K326" s="11" t="s">
        <v>177</v>
      </c>
      <c r="L326" s="11" t="s">
        <v>177</v>
      </c>
      <c r="M326" s="11" t="s">
        <v>177</v>
      </c>
    </row>
    <row r="327" spans="1:13" ht="45" customHeight="1" x14ac:dyDescent="0.25">
      <c r="A327" s="11" t="s">
        <v>197</v>
      </c>
      <c r="B327" s="11" t="s">
        <v>177</v>
      </c>
      <c r="C327" s="11" t="s">
        <v>198</v>
      </c>
      <c r="D327" s="11" t="s">
        <v>87</v>
      </c>
      <c r="E327" s="11" t="s">
        <v>405</v>
      </c>
      <c r="F327" s="11" t="s">
        <v>222</v>
      </c>
      <c r="G327" s="11" t="s">
        <v>234</v>
      </c>
      <c r="H327" s="11" t="s">
        <v>182</v>
      </c>
      <c r="I327" s="11" t="s">
        <v>183</v>
      </c>
      <c r="J327" s="11" t="s">
        <v>184</v>
      </c>
      <c r="K327" s="11" t="s">
        <v>177</v>
      </c>
      <c r="L327" s="11" t="s">
        <v>177</v>
      </c>
      <c r="M327" s="11" t="s">
        <v>177</v>
      </c>
    </row>
    <row r="328" spans="1:13" ht="45" customHeight="1" x14ac:dyDescent="0.25">
      <c r="A328" s="11" t="s">
        <v>194</v>
      </c>
      <c r="B328" s="11" t="s">
        <v>177</v>
      </c>
      <c r="C328" s="11" t="s">
        <v>195</v>
      </c>
      <c r="D328" s="11" t="s">
        <v>87</v>
      </c>
      <c r="E328" s="11" t="s">
        <v>405</v>
      </c>
      <c r="F328" s="11" t="s">
        <v>222</v>
      </c>
      <c r="G328" s="11" t="s">
        <v>234</v>
      </c>
      <c r="H328" s="11" t="s">
        <v>182</v>
      </c>
      <c r="I328" s="11" t="s">
        <v>183</v>
      </c>
      <c r="J328" s="11" t="s">
        <v>184</v>
      </c>
      <c r="K328" s="11" t="s">
        <v>177</v>
      </c>
      <c r="L328" s="11" t="s">
        <v>177</v>
      </c>
      <c r="M328" s="11" t="s">
        <v>177</v>
      </c>
    </row>
    <row r="329" spans="1:13" ht="45" customHeight="1" x14ac:dyDescent="0.25">
      <c r="A329" s="11" t="s">
        <v>197</v>
      </c>
      <c r="B329" s="11" t="s">
        <v>177</v>
      </c>
      <c r="C329" s="11" t="s">
        <v>198</v>
      </c>
      <c r="D329" s="11" t="s">
        <v>87</v>
      </c>
      <c r="E329" s="11" t="s">
        <v>405</v>
      </c>
      <c r="F329" s="11" t="s">
        <v>406</v>
      </c>
      <c r="G329" s="11" t="s">
        <v>234</v>
      </c>
      <c r="H329" s="11" t="s">
        <v>182</v>
      </c>
      <c r="I329" s="11" t="s">
        <v>183</v>
      </c>
      <c r="J329" s="11" t="s">
        <v>184</v>
      </c>
      <c r="K329" s="11" t="s">
        <v>177</v>
      </c>
      <c r="L329" s="11" t="s">
        <v>177</v>
      </c>
      <c r="M329" s="11" t="s">
        <v>177</v>
      </c>
    </row>
    <row r="330" spans="1:13" ht="45" customHeight="1" x14ac:dyDescent="0.25">
      <c r="A330" s="11" t="s">
        <v>191</v>
      </c>
      <c r="B330" s="11" t="s">
        <v>177</v>
      </c>
      <c r="C330" s="11" t="s">
        <v>192</v>
      </c>
      <c r="D330" s="11" t="s">
        <v>87</v>
      </c>
      <c r="E330" s="11" t="s">
        <v>405</v>
      </c>
      <c r="F330" s="11" t="s">
        <v>286</v>
      </c>
      <c r="G330" s="11" t="s">
        <v>234</v>
      </c>
      <c r="H330" s="11" t="s">
        <v>182</v>
      </c>
      <c r="I330" s="11" t="s">
        <v>183</v>
      </c>
      <c r="J330" s="11" t="s">
        <v>184</v>
      </c>
      <c r="K330" s="11" t="s">
        <v>177</v>
      </c>
      <c r="L330" s="11" t="s">
        <v>177</v>
      </c>
      <c r="M330" s="11" t="s">
        <v>177</v>
      </c>
    </row>
    <row r="331" spans="1:13" ht="45" customHeight="1" x14ac:dyDescent="0.25">
      <c r="A331" s="11" t="s">
        <v>176</v>
      </c>
      <c r="B331" s="11" t="s">
        <v>177</v>
      </c>
      <c r="C331" s="11" t="s">
        <v>178</v>
      </c>
      <c r="D331" s="11" t="s">
        <v>87</v>
      </c>
      <c r="E331" s="11" t="s">
        <v>405</v>
      </c>
      <c r="F331" s="11" t="s">
        <v>272</v>
      </c>
      <c r="G331" s="11" t="s">
        <v>234</v>
      </c>
      <c r="H331" s="11" t="s">
        <v>182</v>
      </c>
      <c r="I331" s="11" t="s">
        <v>183</v>
      </c>
      <c r="J331" s="11" t="s">
        <v>184</v>
      </c>
      <c r="K331" s="11" t="s">
        <v>177</v>
      </c>
      <c r="L331" s="11" t="s">
        <v>177</v>
      </c>
      <c r="M331" s="11" t="s">
        <v>177</v>
      </c>
    </row>
    <row r="332" spans="1:13" ht="45" customHeight="1" x14ac:dyDescent="0.25">
      <c r="A332" s="11" t="s">
        <v>197</v>
      </c>
      <c r="B332" s="11" t="s">
        <v>177</v>
      </c>
      <c r="C332" s="11" t="s">
        <v>198</v>
      </c>
      <c r="D332" s="11" t="s">
        <v>87</v>
      </c>
      <c r="E332" s="11" t="s">
        <v>405</v>
      </c>
      <c r="F332" s="11" t="s">
        <v>407</v>
      </c>
      <c r="G332" s="11" t="s">
        <v>234</v>
      </c>
      <c r="H332" s="11" t="s">
        <v>182</v>
      </c>
      <c r="I332" s="11" t="s">
        <v>183</v>
      </c>
      <c r="J332" s="11" t="s">
        <v>184</v>
      </c>
      <c r="K332" s="11" t="s">
        <v>177</v>
      </c>
      <c r="L332" s="11" t="s">
        <v>177</v>
      </c>
      <c r="M332" s="11" t="s">
        <v>177</v>
      </c>
    </row>
    <row r="333" spans="1:13" ht="45" customHeight="1" x14ac:dyDescent="0.25">
      <c r="A333" s="11" t="s">
        <v>176</v>
      </c>
      <c r="B333" s="11" t="s">
        <v>177</v>
      </c>
      <c r="C333" s="11" t="s">
        <v>178</v>
      </c>
      <c r="D333" s="11" t="s">
        <v>87</v>
      </c>
      <c r="E333" s="11" t="s">
        <v>408</v>
      </c>
      <c r="F333" s="11" t="s">
        <v>409</v>
      </c>
      <c r="G333" s="11" t="s">
        <v>249</v>
      </c>
      <c r="H333" s="11" t="s">
        <v>182</v>
      </c>
      <c r="I333" s="11" t="s">
        <v>183</v>
      </c>
      <c r="J333" s="11" t="s">
        <v>184</v>
      </c>
      <c r="K333" s="11" t="s">
        <v>177</v>
      </c>
      <c r="L333" s="11" t="s">
        <v>177</v>
      </c>
      <c r="M333" s="11" t="s">
        <v>177</v>
      </c>
    </row>
    <row r="334" spans="1:13" ht="45" customHeight="1" x14ac:dyDescent="0.25">
      <c r="A334" s="11" t="s">
        <v>185</v>
      </c>
      <c r="B334" s="11" t="s">
        <v>177</v>
      </c>
      <c r="C334" s="11" t="s">
        <v>186</v>
      </c>
      <c r="D334" s="11" t="s">
        <v>87</v>
      </c>
      <c r="E334" s="11" t="s">
        <v>408</v>
      </c>
      <c r="F334" s="11" t="s">
        <v>410</v>
      </c>
      <c r="G334" s="11" t="s">
        <v>249</v>
      </c>
      <c r="H334" s="11" t="s">
        <v>182</v>
      </c>
      <c r="I334" s="11" t="s">
        <v>183</v>
      </c>
      <c r="J334" s="11" t="s">
        <v>184</v>
      </c>
      <c r="K334" s="11" t="s">
        <v>177</v>
      </c>
      <c r="L334" s="11" t="s">
        <v>177</v>
      </c>
      <c r="M334" s="11" t="s">
        <v>177</v>
      </c>
    </row>
    <row r="335" spans="1:13" ht="45" customHeight="1" x14ac:dyDescent="0.25">
      <c r="A335" s="11" t="s">
        <v>191</v>
      </c>
      <c r="B335" s="11" t="s">
        <v>177</v>
      </c>
      <c r="C335" s="11" t="s">
        <v>192</v>
      </c>
      <c r="D335" s="11" t="s">
        <v>87</v>
      </c>
      <c r="E335" s="11" t="s">
        <v>408</v>
      </c>
      <c r="F335" s="11" t="s">
        <v>339</v>
      </c>
      <c r="G335" s="11" t="s">
        <v>249</v>
      </c>
      <c r="H335" s="11" t="s">
        <v>182</v>
      </c>
      <c r="I335" s="11" t="s">
        <v>183</v>
      </c>
      <c r="J335" s="11" t="s">
        <v>184</v>
      </c>
      <c r="K335" s="11" t="s">
        <v>177</v>
      </c>
      <c r="L335" s="11" t="s">
        <v>177</v>
      </c>
      <c r="M335" s="11" t="s">
        <v>177</v>
      </c>
    </row>
    <row r="336" spans="1:13" ht="45" customHeight="1" x14ac:dyDescent="0.25">
      <c r="A336" s="11" t="s">
        <v>217</v>
      </c>
      <c r="B336" s="11" t="s">
        <v>177</v>
      </c>
      <c r="C336" s="11" t="s">
        <v>218</v>
      </c>
      <c r="D336" s="11" t="s">
        <v>87</v>
      </c>
      <c r="E336" s="11" t="s">
        <v>408</v>
      </c>
      <c r="F336" s="11" t="s">
        <v>411</v>
      </c>
      <c r="G336" s="11" t="s">
        <v>249</v>
      </c>
      <c r="H336" s="11" t="s">
        <v>182</v>
      </c>
      <c r="I336" s="11" t="s">
        <v>183</v>
      </c>
      <c r="J336" s="11" t="s">
        <v>184</v>
      </c>
      <c r="K336" s="11" t="s">
        <v>177</v>
      </c>
      <c r="L336" s="11" t="s">
        <v>177</v>
      </c>
      <c r="M336" s="11" t="s">
        <v>177</v>
      </c>
    </row>
    <row r="337" spans="1:13" ht="45" customHeight="1" x14ac:dyDescent="0.25">
      <c r="A337" s="11" t="s">
        <v>194</v>
      </c>
      <c r="B337" s="11" t="s">
        <v>177</v>
      </c>
      <c r="C337" s="11" t="s">
        <v>195</v>
      </c>
      <c r="D337" s="11" t="s">
        <v>87</v>
      </c>
      <c r="E337" s="11" t="s">
        <v>408</v>
      </c>
      <c r="F337" s="11" t="s">
        <v>412</v>
      </c>
      <c r="G337" s="11" t="s">
        <v>249</v>
      </c>
      <c r="H337" s="11" t="s">
        <v>182</v>
      </c>
      <c r="I337" s="11" t="s">
        <v>183</v>
      </c>
      <c r="J337" s="11" t="s">
        <v>184</v>
      </c>
      <c r="K337" s="11" t="s">
        <v>177</v>
      </c>
      <c r="L337" s="11" t="s">
        <v>177</v>
      </c>
      <c r="M337" s="11" t="s">
        <v>177</v>
      </c>
    </row>
    <row r="338" spans="1:13" ht="45" customHeight="1" x14ac:dyDescent="0.25">
      <c r="A338" s="11" t="s">
        <v>194</v>
      </c>
      <c r="B338" s="11" t="s">
        <v>177</v>
      </c>
      <c r="C338" s="11" t="s">
        <v>195</v>
      </c>
      <c r="D338" s="11" t="s">
        <v>87</v>
      </c>
      <c r="E338" s="11" t="s">
        <v>408</v>
      </c>
      <c r="F338" s="11" t="s">
        <v>412</v>
      </c>
      <c r="G338" s="11" t="s">
        <v>249</v>
      </c>
      <c r="H338" s="11" t="s">
        <v>182</v>
      </c>
      <c r="I338" s="11" t="s">
        <v>183</v>
      </c>
      <c r="J338" s="11" t="s">
        <v>184</v>
      </c>
      <c r="K338" s="11" t="s">
        <v>177</v>
      </c>
      <c r="L338" s="11" t="s">
        <v>177</v>
      </c>
      <c r="M338" s="11" t="s">
        <v>177</v>
      </c>
    </row>
    <row r="339" spans="1:13" ht="45" customHeight="1" x14ac:dyDescent="0.25">
      <c r="A339" s="11" t="s">
        <v>194</v>
      </c>
      <c r="B339" s="11" t="s">
        <v>177</v>
      </c>
      <c r="C339" s="11" t="s">
        <v>195</v>
      </c>
      <c r="D339" s="11" t="s">
        <v>87</v>
      </c>
      <c r="E339" s="11" t="s">
        <v>408</v>
      </c>
      <c r="F339" s="11" t="s">
        <v>412</v>
      </c>
      <c r="G339" s="11" t="s">
        <v>249</v>
      </c>
      <c r="H339" s="11" t="s">
        <v>182</v>
      </c>
      <c r="I339" s="11" t="s">
        <v>183</v>
      </c>
      <c r="J339" s="11" t="s">
        <v>184</v>
      </c>
      <c r="K339" s="11" t="s">
        <v>177</v>
      </c>
      <c r="L339" s="11" t="s">
        <v>177</v>
      </c>
      <c r="M339" s="11" t="s">
        <v>177</v>
      </c>
    </row>
    <row r="340" spans="1:13" ht="45" customHeight="1" x14ac:dyDescent="0.25">
      <c r="A340" s="11" t="s">
        <v>197</v>
      </c>
      <c r="B340" s="11" t="s">
        <v>177</v>
      </c>
      <c r="C340" s="11" t="s">
        <v>198</v>
      </c>
      <c r="D340" s="11" t="s">
        <v>87</v>
      </c>
      <c r="E340" s="11" t="s">
        <v>408</v>
      </c>
      <c r="F340" s="11" t="s">
        <v>266</v>
      </c>
      <c r="G340" s="11" t="s">
        <v>249</v>
      </c>
      <c r="H340" s="11" t="s">
        <v>182</v>
      </c>
      <c r="I340" s="11" t="s">
        <v>183</v>
      </c>
      <c r="J340" s="11" t="s">
        <v>184</v>
      </c>
      <c r="K340" s="11" t="s">
        <v>177</v>
      </c>
      <c r="L340" s="11" t="s">
        <v>177</v>
      </c>
      <c r="M340" s="11" t="s">
        <v>177</v>
      </c>
    </row>
    <row r="341" spans="1:13" ht="45" customHeight="1" x14ac:dyDescent="0.25">
      <c r="A341" s="11" t="s">
        <v>197</v>
      </c>
      <c r="B341" s="11" t="s">
        <v>177</v>
      </c>
      <c r="C341" s="11" t="s">
        <v>198</v>
      </c>
      <c r="D341" s="11" t="s">
        <v>87</v>
      </c>
      <c r="E341" s="11" t="s">
        <v>408</v>
      </c>
      <c r="F341" s="11" t="s">
        <v>364</v>
      </c>
      <c r="G341" s="11" t="s">
        <v>249</v>
      </c>
      <c r="H341" s="11" t="s">
        <v>182</v>
      </c>
      <c r="I341" s="11" t="s">
        <v>183</v>
      </c>
      <c r="J341" s="11" t="s">
        <v>184</v>
      </c>
      <c r="K341" s="11" t="s">
        <v>177</v>
      </c>
      <c r="L341" s="11" t="s">
        <v>177</v>
      </c>
      <c r="M341" s="11" t="s">
        <v>177</v>
      </c>
    </row>
    <row r="342" spans="1:13" ht="45" customHeight="1" x14ac:dyDescent="0.25">
      <c r="A342" s="11" t="s">
        <v>197</v>
      </c>
      <c r="B342" s="11" t="s">
        <v>177</v>
      </c>
      <c r="C342" s="11" t="s">
        <v>198</v>
      </c>
      <c r="D342" s="11" t="s">
        <v>87</v>
      </c>
      <c r="E342" s="11" t="s">
        <v>408</v>
      </c>
      <c r="F342" s="11" t="s">
        <v>413</v>
      </c>
      <c r="G342" s="11" t="s">
        <v>249</v>
      </c>
      <c r="H342" s="11" t="s">
        <v>182</v>
      </c>
      <c r="I342" s="11" t="s">
        <v>183</v>
      </c>
      <c r="J342" s="11" t="s">
        <v>184</v>
      </c>
      <c r="K342" s="11" t="s">
        <v>177</v>
      </c>
      <c r="L342" s="11" t="s">
        <v>177</v>
      </c>
      <c r="M342" s="11" t="s">
        <v>177</v>
      </c>
    </row>
    <row r="343" spans="1:13" ht="45" customHeight="1" x14ac:dyDescent="0.25">
      <c r="A343" s="11" t="s">
        <v>191</v>
      </c>
      <c r="B343" s="11" t="s">
        <v>177</v>
      </c>
      <c r="C343" s="11" t="s">
        <v>192</v>
      </c>
      <c r="D343" s="11" t="s">
        <v>87</v>
      </c>
      <c r="E343" s="11" t="s">
        <v>408</v>
      </c>
      <c r="F343" s="11" t="s">
        <v>414</v>
      </c>
      <c r="G343" s="11" t="s">
        <v>249</v>
      </c>
      <c r="H343" s="11" t="s">
        <v>182</v>
      </c>
      <c r="I343" s="11" t="s">
        <v>183</v>
      </c>
      <c r="J343" s="11" t="s">
        <v>184</v>
      </c>
      <c r="K343" s="11" t="s">
        <v>177</v>
      </c>
      <c r="L343" s="11" t="s">
        <v>177</v>
      </c>
      <c r="M343" s="11" t="s">
        <v>177</v>
      </c>
    </row>
    <row r="344" spans="1:13" ht="45" customHeight="1" x14ac:dyDescent="0.25">
      <c r="A344" s="11" t="s">
        <v>176</v>
      </c>
      <c r="B344" s="11" t="s">
        <v>177</v>
      </c>
      <c r="C344" s="11" t="s">
        <v>178</v>
      </c>
      <c r="D344" s="11" t="s">
        <v>87</v>
      </c>
      <c r="E344" s="11" t="s">
        <v>408</v>
      </c>
      <c r="F344" s="11" t="s">
        <v>415</v>
      </c>
      <c r="G344" s="11" t="s">
        <v>249</v>
      </c>
      <c r="H344" s="11" t="s">
        <v>182</v>
      </c>
      <c r="I344" s="11" t="s">
        <v>183</v>
      </c>
      <c r="J344" s="11" t="s">
        <v>184</v>
      </c>
      <c r="K344" s="11" t="s">
        <v>177</v>
      </c>
      <c r="L344" s="11" t="s">
        <v>177</v>
      </c>
      <c r="M344" s="11" t="s">
        <v>177</v>
      </c>
    </row>
    <row r="345" spans="1:13" ht="45" customHeight="1" x14ac:dyDescent="0.25">
      <c r="A345" s="11" t="s">
        <v>197</v>
      </c>
      <c r="B345" s="11" t="s">
        <v>177</v>
      </c>
      <c r="C345" s="11" t="s">
        <v>198</v>
      </c>
      <c r="D345" s="11" t="s">
        <v>87</v>
      </c>
      <c r="E345" s="11" t="s">
        <v>408</v>
      </c>
      <c r="F345" s="11" t="s">
        <v>416</v>
      </c>
      <c r="G345" s="11" t="s">
        <v>249</v>
      </c>
      <c r="H345" s="11" t="s">
        <v>182</v>
      </c>
      <c r="I345" s="11" t="s">
        <v>183</v>
      </c>
      <c r="J345" s="11" t="s">
        <v>184</v>
      </c>
      <c r="K345" s="11" t="s">
        <v>177</v>
      </c>
      <c r="L345" s="11" t="s">
        <v>177</v>
      </c>
      <c r="M345" s="11" t="s">
        <v>177</v>
      </c>
    </row>
    <row r="346" spans="1:13" ht="45" customHeight="1" x14ac:dyDescent="0.25">
      <c r="A346" s="11" t="s">
        <v>194</v>
      </c>
      <c r="B346" s="11" t="s">
        <v>177</v>
      </c>
      <c r="C346" s="11" t="s">
        <v>195</v>
      </c>
      <c r="D346" s="11" t="s">
        <v>87</v>
      </c>
      <c r="E346" s="11" t="s">
        <v>408</v>
      </c>
      <c r="F346" s="11" t="s">
        <v>417</v>
      </c>
      <c r="G346" s="11" t="s">
        <v>249</v>
      </c>
      <c r="H346" s="11" t="s">
        <v>182</v>
      </c>
      <c r="I346" s="11" t="s">
        <v>183</v>
      </c>
      <c r="J346" s="11" t="s">
        <v>184</v>
      </c>
      <c r="K346" s="11" t="s">
        <v>177</v>
      </c>
      <c r="L346" s="11" t="s">
        <v>177</v>
      </c>
      <c r="M346" s="11" t="s">
        <v>177</v>
      </c>
    </row>
    <row r="347" spans="1:13" ht="45" customHeight="1" x14ac:dyDescent="0.25">
      <c r="A347" s="11" t="s">
        <v>176</v>
      </c>
      <c r="B347" s="11" t="s">
        <v>177</v>
      </c>
      <c r="C347" s="11" t="s">
        <v>178</v>
      </c>
      <c r="D347" s="11" t="s">
        <v>87</v>
      </c>
      <c r="E347" s="11" t="s">
        <v>418</v>
      </c>
      <c r="F347" s="11" t="s">
        <v>419</v>
      </c>
      <c r="G347" s="11" t="s">
        <v>262</v>
      </c>
      <c r="H347" s="11" t="s">
        <v>182</v>
      </c>
      <c r="I347" s="11" t="s">
        <v>183</v>
      </c>
      <c r="J347" s="11" t="s">
        <v>184</v>
      </c>
      <c r="K347" s="11" t="s">
        <v>177</v>
      </c>
      <c r="L347" s="11" t="s">
        <v>177</v>
      </c>
      <c r="M347" s="11" t="s">
        <v>177</v>
      </c>
    </row>
    <row r="348" spans="1:13" ht="45" customHeight="1" x14ac:dyDescent="0.25">
      <c r="A348" s="11" t="s">
        <v>185</v>
      </c>
      <c r="B348" s="11" t="s">
        <v>177</v>
      </c>
      <c r="C348" s="11" t="s">
        <v>186</v>
      </c>
      <c r="D348" s="11" t="s">
        <v>87</v>
      </c>
      <c r="E348" s="11" t="s">
        <v>418</v>
      </c>
      <c r="F348" s="11" t="s">
        <v>214</v>
      </c>
      <c r="G348" s="11" t="s">
        <v>262</v>
      </c>
      <c r="H348" s="11" t="s">
        <v>182</v>
      </c>
      <c r="I348" s="11" t="s">
        <v>183</v>
      </c>
      <c r="J348" s="11" t="s">
        <v>184</v>
      </c>
      <c r="K348" s="11" t="s">
        <v>177</v>
      </c>
      <c r="L348" s="11" t="s">
        <v>177</v>
      </c>
      <c r="M348" s="11" t="s">
        <v>177</v>
      </c>
    </row>
    <row r="349" spans="1:13" ht="45" customHeight="1" x14ac:dyDescent="0.25">
      <c r="A349" s="11" t="s">
        <v>191</v>
      </c>
      <c r="B349" s="11" t="s">
        <v>177</v>
      </c>
      <c r="C349" s="11" t="s">
        <v>192</v>
      </c>
      <c r="D349" s="11" t="s">
        <v>87</v>
      </c>
      <c r="E349" s="11" t="s">
        <v>418</v>
      </c>
      <c r="F349" s="11" t="s">
        <v>294</v>
      </c>
      <c r="G349" s="11" t="s">
        <v>262</v>
      </c>
      <c r="H349" s="11" t="s">
        <v>182</v>
      </c>
      <c r="I349" s="11" t="s">
        <v>183</v>
      </c>
      <c r="J349" s="11" t="s">
        <v>184</v>
      </c>
      <c r="K349" s="11" t="s">
        <v>177</v>
      </c>
      <c r="L349" s="11" t="s">
        <v>177</v>
      </c>
      <c r="M349" s="11" t="s">
        <v>177</v>
      </c>
    </row>
    <row r="350" spans="1:13" ht="45" customHeight="1" x14ac:dyDescent="0.25">
      <c r="A350" s="11" t="s">
        <v>217</v>
      </c>
      <c r="B350" s="11" t="s">
        <v>177</v>
      </c>
      <c r="C350" s="11" t="s">
        <v>218</v>
      </c>
      <c r="D350" s="11" t="s">
        <v>87</v>
      </c>
      <c r="E350" s="11" t="s">
        <v>418</v>
      </c>
      <c r="F350" s="11" t="s">
        <v>282</v>
      </c>
      <c r="G350" s="11" t="s">
        <v>262</v>
      </c>
      <c r="H350" s="11" t="s">
        <v>182</v>
      </c>
      <c r="I350" s="11" t="s">
        <v>183</v>
      </c>
      <c r="J350" s="11" t="s">
        <v>184</v>
      </c>
      <c r="K350" s="11" t="s">
        <v>177</v>
      </c>
      <c r="L350" s="11" t="s">
        <v>177</v>
      </c>
      <c r="M350" s="11" t="s">
        <v>177</v>
      </c>
    </row>
    <row r="351" spans="1:13" ht="45" customHeight="1" x14ac:dyDescent="0.25">
      <c r="A351" s="11" t="s">
        <v>312</v>
      </c>
      <c r="B351" s="11" t="s">
        <v>177</v>
      </c>
      <c r="C351" s="11" t="s">
        <v>313</v>
      </c>
      <c r="D351" s="11" t="s">
        <v>87</v>
      </c>
      <c r="E351" s="11" t="s">
        <v>418</v>
      </c>
      <c r="F351" s="11" t="s">
        <v>253</v>
      </c>
      <c r="G351" s="11" t="s">
        <v>262</v>
      </c>
      <c r="H351" s="11" t="s">
        <v>182</v>
      </c>
      <c r="I351" s="11" t="s">
        <v>183</v>
      </c>
      <c r="J351" s="11" t="s">
        <v>184</v>
      </c>
      <c r="K351" s="11" t="s">
        <v>177</v>
      </c>
      <c r="L351" s="11" t="s">
        <v>177</v>
      </c>
      <c r="M351" s="11" t="s">
        <v>177</v>
      </c>
    </row>
    <row r="352" spans="1:13" ht="45" customHeight="1" x14ac:dyDescent="0.25">
      <c r="A352" s="11" t="s">
        <v>200</v>
      </c>
      <c r="B352" s="11" t="s">
        <v>177</v>
      </c>
      <c r="C352" s="11" t="s">
        <v>201</v>
      </c>
      <c r="D352" s="11" t="s">
        <v>87</v>
      </c>
      <c r="E352" s="11" t="s">
        <v>418</v>
      </c>
      <c r="F352" s="11" t="s">
        <v>253</v>
      </c>
      <c r="G352" s="11" t="s">
        <v>262</v>
      </c>
      <c r="H352" s="11" t="s">
        <v>182</v>
      </c>
      <c r="I352" s="11" t="s">
        <v>183</v>
      </c>
      <c r="J352" s="11" t="s">
        <v>184</v>
      </c>
      <c r="K352" s="11" t="s">
        <v>177</v>
      </c>
      <c r="L352" s="11" t="s">
        <v>177</v>
      </c>
      <c r="M352" s="11" t="s">
        <v>177</v>
      </c>
    </row>
    <row r="353" spans="1:13" ht="45" customHeight="1" x14ac:dyDescent="0.25">
      <c r="A353" s="11" t="s">
        <v>194</v>
      </c>
      <c r="B353" s="11" t="s">
        <v>177</v>
      </c>
      <c r="C353" s="11" t="s">
        <v>195</v>
      </c>
      <c r="D353" s="11" t="s">
        <v>87</v>
      </c>
      <c r="E353" s="11" t="s">
        <v>418</v>
      </c>
      <c r="F353" s="11" t="s">
        <v>378</v>
      </c>
      <c r="G353" s="11" t="s">
        <v>262</v>
      </c>
      <c r="H353" s="11" t="s">
        <v>182</v>
      </c>
      <c r="I353" s="11" t="s">
        <v>183</v>
      </c>
      <c r="J353" s="11" t="s">
        <v>184</v>
      </c>
      <c r="K353" s="11" t="s">
        <v>177</v>
      </c>
      <c r="L353" s="11" t="s">
        <v>177</v>
      </c>
      <c r="M353" s="11" t="s">
        <v>177</v>
      </c>
    </row>
  </sheetData>
  <mergeCells count="3">
    <mergeCell ref="A3:M3"/>
    <mergeCell ref="A2:M2"/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B86F-A459-48F0-9EAE-DDF9CF7CDA25}">
  <dimension ref="A1:Q63"/>
  <sheetViews>
    <sheetView zoomScaleNormal="100" workbookViewId="0">
      <pane xSplit="2" ySplit="5" topLeftCell="C43" activePane="bottomRight" state="frozen"/>
      <selection pane="topRight" activeCell="C1" sqref="C1"/>
      <selection pane="bottomLeft" activeCell="A6" sqref="A6"/>
      <selection pane="bottomRight" activeCell="A5" sqref="A5:I55"/>
    </sheetView>
  </sheetViews>
  <sheetFormatPr defaultColWidth="8.7109375" defaultRowHeight="15" x14ac:dyDescent="0.25"/>
  <cols>
    <col min="1" max="1" width="6" customWidth="1"/>
    <col min="2" max="2" width="45" customWidth="1"/>
    <col min="3" max="3" width="10" customWidth="1"/>
    <col min="4" max="4" width="14" customWidth="1"/>
    <col min="5" max="5" width="7" customWidth="1"/>
    <col min="6" max="7" width="11.28515625" customWidth="1"/>
    <col min="8" max="9" width="9" customWidth="1"/>
    <col min="10" max="11" width="12" customWidth="1"/>
    <col min="12" max="12" width="7" customWidth="1"/>
    <col min="13" max="13" width="13" customWidth="1"/>
    <col min="14" max="14" width="13" style="131" customWidth="1"/>
    <col min="15" max="15" width="13" customWidth="1"/>
    <col min="16" max="16" width="12" customWidth="1"/>
    <col min="17" max="17" width="13" customWidth="1"/>
  </cols>
  <sheetData>
    <row r="1" spans="1:17" ht="25.5" customHeight="1" x14ac:dyDescent="0.25">
      <c r="A1" s="180" t="s">
        <v>105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60"/>
    </row>
    <row r="2" spans="1:17" x14ac:dyDescent="0.25">
      <c r="A2" s="181" t="s">
        <v>634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60"/>
    </row>
    <row r="3" spans="1:17" ht="15.75" customHeight="1" x14ac:dyDescent="0.25">
      <c r="A3" s="181" t="s">
        <v>633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60"/>
    </row>
    <row r="5" spans="1:17" ht="54.75" customHeight="1" x14ac:dyDescent="0.25">
      <c r="A5" s="158" t="s">
        <v>632</v>
      </c>
      <c r="B5" s="158" t="s">
        <v>631</v>
      </c>
      <c r="C5" s="158" t="s">
        <v>106</v>
      </c>
      <c r="D5" s="158" t="s">
        <v>107</v>
      </c>
      <c r="E5" s="158" t="s">
        <v>630</v>
      </c>
      <c r="F5" s="158" t="s">
        <v>629</v>
      </c>
      <c r="G5" s="158" t="s">
        <v>628</v>
      </c>
      <c r="H5" s="158" t="s">
        <v>627</v>
      </c>
      <c r="I5" s="158" t="s">
        <v>626</v>
      </c>
      <c r="J5" s="158" t="s">
        <v>625</v>
      </c>
      <c r="K5" s="158" t="s">
        <v>624</v>
      </c>
      <c r="L5" s="158" t="s">
        <v>623</v>
      </c>
      <c r="M5" s="158" t="s">
        <v>622</v>
      </c>
      <c r="N5" s="159" t="s">
        <v>621</v>
      </c>
      <c r="O5" s="158" t="s">
        <v>108</v>
      </c>
      <c r="P5" s="157" t="s">
        <v>620</v>
      </c>
      <c r="Q5" s="157" t="s">
        <v>619</v>
      </c>
    </row>
    <row r="6" spans="1:17" x14ac:dyDescent="0.25">
      <c r="A6" s="145">
        <v>1</v>
      </c>
      <c r="B6" s="147" t="s">
        <v>109</v>
      </c>
      <c r="C6" s="145" t="s">
        <v>618</v>
      </c>
      <c r="D6" s="146" t="s">
        <v>110</v>
      </c>
      <c r="E6" s="145" t="s">
        <v>564</v>
      </c>
      <c r="F6" s="143">
        <v>67</v>
      </c>
      <c r="G6" s="144"/>
      <c r="H6" s="144"/>
      <c r="I6" s="143">
        <f t="shared" ref="I6:I37" si="0">IF(F6="","",F6+IF(G6="",0,G6)-IF(H6="",0,H6))</f>
        <v>67</v>
      </c>
      <c r="J6" s="141">
        <v>5.19</v>
      </c>
      <c r="K6" s="141">
        <v>5.19</v>
      </c>
      <c r="L6" s="142">
        <v>0</v>
      </c>
      <c r="M6" s="141">
        <f t="shared" ref="M6:M37" si="1">IF(OR(I6="",J6=""),"",I6*J6)</f>
        <v>347.73</v>
      </c>
      <c r="N6" s="149"/>
      <c r="O6" s="140"/>
      <c r="P6" s="139">
        <f t="shared" ref="P6:P37" ca="1" si="2">IF(OR(F6="",F6=0),"",IF(O6="",TODAY()-DATE(2026,1,1),O6-DATE(2026,1,1)))</f>
        <v>261</v>
      </c>
      <c r="Q6" s="139" t="str">
        <f t="shared" ref="Q6:Q37" ca="1" si="3">IF(N6="","",IF(O6="",TODAY()-N6+0,O6-N6))</f>
        <v/>
      </c>
    </row>
    <row r="7" spans="1:17" x14ac:dyDescent="0.25">
      <c r="A7" s="153">
        <v>2</v>
      </c>
      <c r="B7" s="155" t="s">
        <v>111</v>
      </c>
      <c r="C7" s="153" t="s">
        <v>617</v>
      </c>
      <c r="D7" s="154" t="s">
        <v>112</v>
      </c>
      <c r="E7" s="153" t="s">
        <v>564</v>
      </c>
      <c r="F7" s="156">
        <v>1</v>
      </c>
      <c r="G7" s="144">
        <v>3</v>
      </c>
      <c r="H7" s="144"/>
      <c r="I7" s="152">
        <f t="shared" si="0"/>
        <v>4</v>
      </c>
      <c r="J7" s="150">
        <v>752.79</v>
      </c>
      <c r="K7" s="150">
        <v>1250</v>
      </c>
      <c r="L7" s="151">
        <v>0</v>
      </c>
      <c r="M7" s="150">
        <f t="shared" si="1"/>
        <v>3011.16</v>
      </c>
      <c r="N7" s="131">
        <v>46247</v>
      </c>
      <c r="O7" s="149"/>
      <c r="P7" s="148">
        <f t="shared" ca="1" si="2"/>
        <v>261</v>
      </c>
      <c r="Q7" s="148">
        <f t="shared" ca="1" si="3"/>
        <v>37</v>
      </c>
    </row>
    <row r="8" spans="1:17" x14ac:dyDescent="0.25">
      <c r="A8" s="145">
        <v>3</v>
      </c>
      <c r="B8" s="147" t="s">
        <v>616</v>
      </c>
      <c r="C8" s="145" t="s">
        <v>615</v>
      </c>
      <c r="D8" s="146" t="s">
        <v>112</v>
      </c>
      <c r="E8" s="145" t="s">
        <v>564</v>
      </c>
      <c r="F8" s="143">
        <v>0</v>
      </c>
      <c r="G8" s="144">
        <v>2</v>
      </c>
      <c r="H8" s="144"/>
      <c r="I8" s="143">
        <f t="shared" si="0"/>
        <v>2</v>
      </c>
      <c r="J8" s="141"/>
      <c r="K8" s="141"/>
      <c r="L8" s="142"/>
      <c r="M8" s="141" t="str">
        <f t="shared" si="1"/>
        <v/>
      </c>
      <c r="N8" s="131">
        <v>46247</v>
      </c>
      <c r="O8" s="140"/>
      <c r="P8" s="139" t="str">
        <f t="shared" ca="1" si="2"/>
        <v/>
      </c>
      <c r="Q8" s="139">
        <f t="shared" ca="1" si="3"/>
        <v>37</v>
      </c>
    </row>
    <row r="9" spans="1:17" x14ac:dyDescent="0.25">
      <c r="A9" s="153">
        <v>4</v>
      </c>
      <c r="B9" s="155" t="s">
        <v>113</v>
      </c>
      <c r="C9" s="153" t="s">
        <v>614</v>
      </c>
      <c r="D9" s="154" t="s">
        <v>112</v>
      </c>
      <c r="E9" s="153" t="s">
        <v>564</v>
      </c>
      <c r="F9" s="156">
        <v>3</v>
      </c>
      <c r="G9" s="144">
        <v>3</v>
      </c>
      <c r="H9" s="144"/>
      <c r="I9" s="152">
        <f t="shared" si="0"/>
        <v>6</v>
      </c>
      <c r="J9" s="150">
        <v>95.79</v>
      </c>
      <c r="K9" s="150">
        <v>125</v>
      </c>
      <c r="L9" s="151">
        <v>0</v>
      </c>
      <c r="M9" s="150">
        <f t="shared" si="1"/>
        <v>574.74</v>
      </c>
      <c r="N9" s="131">
        <v>46247</v>
      </c>
      <c r="O9" s="149"/>
      <c r="P9" s="148">
        <f t="shared" ca="1" si="2"/>
        <v>261</v>
      </c>
      <c r="Q9" s="148">
        <f t="shared" ca="1" si="3"/>
        <v>37</v>
      </c>
    </row>
    <row r="10" spans="1:17" ht="25.5" customHeight="1" x14ac:dyDescent="0.25">
      <c r="A10" s="145">
        <v>5</v>
      </c>
      <c r="B10" s="147" t="s">
        <v>114</v>
      </c>
      <c r="C10" s="145" t="s">
        <v>115</v>
      </c>
      <c r="D10" s="146" t="s">
        <v>116</v>
      </c>
      <c r="E10" s="145" t="s">
        <v>564</v>
      </c>
      <c r="F10" s="143">
        <v>1</v>
      </c>
      <c r="G10" s="144"/>
      <c r="H10" s="144"/>
      <c r="I10" s="143">
        <f t="shared" si="0"/>
        <v>1</v>
      </c>
      <c r="J10" s="141">
        <v>3168.8</v>
      </c>
      <c r="K10" s="141">
        <v>4277.88</v>
      </c>
      <c r="L10" s="142">
        <v>0</v>
      </c>
      <c r="M10" s="141">
        <f t="shared" si="1"/>
        <v>3168.8</v>
      </c>
      <c r="N10" s="140"/>
      <c r="O10" s="140"/>
      <c r="P10" s="139">
        <f t="shared" ca="1" si="2"/>
        <v>261</v>
      </c>
      <c r="Q10" s="139" t="str">
        <f t="shared" ca="1" si="3"/>
        <v/>
      </c>
    </row>
    <row r="11" spans="1:17" ht="25.5" customHeight="1" x14ac:dyDescent="0.25">
      <c r="A11" s="153">
        <v>6</v>
      </c>
      <c r="B11" s="155" t="s">
        <v>117</v>
      </c>
      <c r="C11" s="153" t="s">
        <v>613</v>
      </c>
      <c r="D11" s="154" t="s">
        <v>116</v>
      </c>
      <c r="E11" s="153" t="s">
        <v>564</v>
      </c>
      <c r="F11" s="152">
        <v>1</v>
      </c>
      <c r="G11" s="144"/>
      <c r="H11" s="144"/>
      <c r="I11" s="152">
        <f t="shared" si="0"/>
        <v>1</v>
      </c>
      <c r="J11" s="150">
        <v>2778.78</v>
      </c>
      <c r="K11" s="150">
        <v>3751.35</v>
      </c>
      <c r="L11" s="151">
        <v>0</v>
      </c>
      <c r="M11" s="150">
        <f t="shared" si="1"/>
        <v>2778.78</v>
      </c>
      <c r="N11" s="149"/>
      <c r="O11" s="149"/>
      <c r="P11" s="148">
        <f t="shared" ca="1" si="2"/>
        <v>261</v>
      </c>
      <c r="Q11" s="148" t="str">
        <f t="shared" ca="1" si="3"/>
        <v/>
      </c>
    </row>
    <row r="12" spans="1:17" ht="25.5" customHeight="1" x14ac:dyDescent="0.25">
      <c r="A12" s="145">
        <v>7</v>
      </c>
      <c r="B12" s="147" t="s">
        <v>118</v>
      </c>
      <c r="C12" s="145" t="s">
        <v>612</v>
      </c>
      <c r="D12" s="146" t="s">
        <v>116</v>
      </c>
      <c r="E12" s="145" t="s">
        <v>564</v>
      </c>
      <c r="F12" s="143">
        <v>2</v>
      </c>
      <c r="G12" s="144"/>
      <c r="H12" s="144"/>
      <c r="I12" s="143">
        <f t="shared" si="0"/>
        <v>2</v>
      </c>
      <c r="J12" s="141">
        <v>146.30000000000001</v>
      </c>
      <c r="K12" s="141">
        <v>350</v>
      </c>
      <c r="L12" s="142">
        <v>0</v>
      </c>
      <c r="M12" s="141">
        <f t="shared" si="1"/>
        <v>292.60000000000002</v>
      </c>
      <c r="N12" s="140"/>
      <c r="O12" s="140"/>
      <c r="P12" s="139">
        <f t="shared" ca="1" si="2"/>
        <v>261</v>
      </c>
      <c r="Q12" s="139" t="str">
        <f t="shared" ca="1" si="3"/>
        <v/>
      </c>
    </row>
    <row r="13" spans="1:17" x14ac:dyDescent="0.25">
      <c r="A13" s="153">
        <v>8</v>
      </c>
      <c r="B13" s="155" t="s">
        <v>119</v>
      </c>
      <c r="C13" s="153" t="s">
        <v>611</v>
      </c>
      <c r="D13" s="154" t="s">
        <v>120</v>
      </c>
      <c r="E13" s="153" t="s">
        <v>564</v>
      </c>
      <c r="F13" s="152">
        <v>1</v>
      </c>
      <c r="G13" s="144"/>
      <c r="H13" s="144"/>
      <c r="I13" s="152">
        <f t="shared" si="0"/>
        <v>1</v>
      </c>
      <c r="J13" s="150">
        <v>236</v>
      </c>
      <c r="K13" s="150">
        <v>354</v>
      </c>
      <c r="L13" s="151">
        <v>0</v>
      </c>
      <c r="M13" s="150">
        <f t="shared" si="1"/>
        <v>236</v>
      </c>
      <c r="N13" s="149"/>
      <c r="O13" s="149"/>
      <c r="P13" s="148">
        <f t="shared" ca="1" si="2"/>
        <v>261</v>
      </c>
      <c r="Q13" s="148" t="str">
        <f t="shared" ca="1" si="3"/>
        <v/>
      </c>
    </row>
    <row r="14" spans="1:17" ht="25.5" customHeight="1" x14ac:dyDescent="0.25">
      <c r="A14" s="145">
        <v>9</v>
      </c>
      <c r="B14" s="147" t="s">
        <v>121</v>
      </c>
      <c r="C14" s="145" t="s">
        <v>610</v>
      </c>
      <c r="D14" s="146" t="s">
        <v>116</v>
      </c>
      <c r="E14" s="145" t="s">
        <v>564</v>
      </c>
      <c r="F14" s="143">
        <v>2</v>
      </c>
      <c r="G14" s="144"/>
      <c r="H14" s="144"/>
      <c r="I14" s="143">
        <f t="shared" si="0"/>
        <v>2</v>
      </c>
      <c r="J14" s="141">
        <v>185.53</v>
      </c>
      <c r="K14" s="141">
        <v>278.3</v>
      </c>
      <c r="L14" s="142">
        <v>0</v>
      </c>
      <c r="M14" s="141">
        <f t="shared" si="1"/>
        <v>371.06</v>
      </c>
      <c r="N14" s="140"/>
      <c r="O14" s="140"/>
      <c r="P14" s="139">
        <f t="shared" ca="1" si="2"/>
        <v>261</v>
      </c>
      <c r="Q14" s="139" t="str">
        <f t="shared" ca="1" si="3"/>
        <v/>
      </c>
    </row>
    <row r="15" spans="1:17" ht="25.5" customHeight="1" x14ac:dyDescent="0.25">
      <c r="A15" s="153">
        <v>10</v>
      </c>
      <c r="B15" s="155" t="s">
        <v>122</v>
      </c>
      <c r="C15" s="153" t="s">
        <v>609</v>
      </c>
      <c r="D15" s="154" t="s">
        <v>116</v>
      </c>
      <c r="E15" s="153" t="s">
        <v>564</v>
      </c>
      <c r="F15" s="152">
        <v>1</v>
      </c>
      <c r="G15" s="144"/>
      <c r="H15" s="144"/>
      <c r="I15" s="152">
        <f t="shared" si="0"/>
        <v>1</v>
      </c>
      <c r="J15" s="150">
        <v>126.18</v>
      </c>
      <c r="K15" s="150">
        <v>252.36</v>
      </c>
      <c r="L15" s="151">
        <v>0</v>
      </c>
      <c r="M15" s="150">
        <f t="shared" si="1"/>
        <v>126.18</v>
      </c>
      <c r="N15" s="149"/>
      <c r="O15" s="149"/>
      <c r="P15" s="148">
        <f t="shared" ca="1" si="2"/>
        <v>261</v>
      </c>
      <c r="Q15" s="148" t="str">
        <f t="shared" ca="1" si="3"/>
        <v/>
      </c>
    </row>
    <row r="16" spans="1:17" ht="25.5" customHeight="1" x14ac:dyDescent="0.25">
      <c r="A16" s="145">
        <v>11</v>
      </c>
      <c r="B16" s="147" t="s">
        <v>123</v>
      </c>
      <c r="C16" s="145" t="s">
        <v>608</v>
      </c>
      <c r="D16" s="146" t="s">
        <v>116</v>
      </c>
      <c r="E16" s="145" t="s">
        <v>564</v>
      </c>
      <c r="F16" s="143">
        <v>2</v>
      </c>
      <c r="G16" s="144"/>
      <c r="H16" s="144"/>
      <c r="I16" s="143">
        <f t="shared" si="0"/>
        <v>2</v>
      </c>
      <c r="J16" s="141">
        <v>413.74</v>
      </c>
      <c r="K16" s="141">
        <v>827.48</v>
      </c>
      <c r="L16" s="142">
        <v>0</v>
      </c>
      <c r="M16" s="141">
        <f t="shared" si="1"/>
        <v>827.48</v>
      </c>
      <c r="N16" s="140"/>
      <c r="O16" s="140"/>
      <c r="P16" s="139">
        <f t="shared" ca="1" si="2"/>
        <v>261</v>
      </c>
      <c r="Q16" s="139" t="str">
        <f t="shared" ca="1" si="3"/>
        <v/>
      </c>
    </row>
    <row r="17" spans="1:17" ht="25.5" customHeight="1" x14ac:dyDescent="0.25">
      <c r="A17" s="153">
        <v>12</v>
      </c>
      <c r="B17" s="155" t="s">
        <v>124</v>
      </c>
      <c r="C17" s="153" t="s">
        <v>607</v>
      </c>
      <c r="D17" s="154" t="s">
        <v>116</v>
      </c>
      <c r="E17" s="153" t="s">
        <v>564</v>
      </c>
      <c r="F17" s="152">
        <v>1</v>
      </c>
      <c r="G17" s="144"/>
      <c r="H17" s="144"/>
      <c r="I17" s="152">
        <f t="shared" si="0"/>
        <v>1</v>
      </c>
      <c r="J17" s="150">
        <v>979.74</v>
      </c>
      <c r="K17" s="150">
        <v>1959.48</v>
      </c>
      <c r="L17" s="151">
        <v>0</v>
      </c>
      <c r="M17" s="150">
        <f t="shared" si="1"/>
        <v>979.74</v>
      </c>
      <c r="N17" s="149"/>
      <c r="O17" s="149"/>
      <c r="P17" s="148">
        <f t="shared" ca="1" si="2"/>
        <v>261</v>
      </c>
      <c r="Q17" s="148" t="str">
        <f t="shared" ca="1" si="3"/>
        <v/>
      </c>
    </row>
    <row r="18" spans="1:17" ht="25.5" customHeight="1" x14ac:dyDescent="0.25">
      <c r="A18" s="145">
        <v>13</v>
      </c>
      <c r="B18" s="147" t="s">
        <v>125</v>
      </c>
      <c r="C18" s="145" t="s">
        <v>606</v>
      </c>
      <c r="D18" s="146" t="s">
        <v>116</v>
      </c>
      <c r="E18" s="145" t="s">
        <v>564</v>
      </c>
      <c r="F18" s="143">
        <v>1</v>
      </c>
      <c r="G18" s="144"/>
      <c r="H18" s="144"/>
      <c r="I18" s="143">
        <f t="shared" si="0"/>
        <v>1</v>
      </c>
      <c r="J18" s="141">
        <v>241.01</v>
      </c>
      <c r="K18" s="141">
        <v>482.02</v>
      </c>
      <c r="L18" s="142">
        <v>0</v>
      </c>
      <c r="M18" s="141">
        <f t="shared" si="1"/>
        <v>241.01</v>
      </c>
      <c r="N18" s="140"/>
      <c r="O18" s="140"/>
      <c r="P18" s="139">
        <f t="shared" ca="1" si="2"/>
        <v>261</v>
      </c>
      <c r="Q18" s="139" t="str">
        <f t="shared" ca="1" si="3"/>
        <v/>
      </c>
    </row>
    <row r="19" spans="1:17" ht="25.5" customHeight="1" x14ac:dyDescent="0.25">
      <c r="A19" s="153">
        <v>14</v>
      </c>
      <c r="B19" s="155" t="s">
        <v>126</v>
      </c>
      <c r="C19" s="153" t="s">
        <v>605</v>
      </c>
      <c r="D19" s="154" t="s">
        <v>116</v>
      </c>
      <c r="E19" s="153" t="s">
        <v>564</v>
      </c>
      <c r="F19" s="152">
        <v>2</v>
      </c>
      <c r="G19" s="144"/>
      <c r="H19" s="144"/>
      <c r="I19" s="152">
        <f t="shared" si="0"/>
        <v>2</v>
      </c>
      <c r="J19" s="150">
        <v>75</v>
      </c>
      <c r="K19" s="150">
        <v>150</v>
      </c>
      <c r="L19" s="151">
        <v>0</v>
      </c>
      <c r="M19" s="150">
        <f t="shared" si="1"/>
        <v>150</v>
      </c>
      <c r="N19" s="149"/>
      <c r="O19" s="149"/>
      <c r="P19" s="148">
        <f t="shared" ca="1" si="2"/>
        <v>261</v>
      </c>
      <c r="Q19" s="148" t="str">
        <f t="shared" ca="1" si="3"/>
        <v/>
      </c>
    </row>
    <row r="20" spans="1:17" x14ac:dyDescent="0.25">
      <c r="A20" s="145">
        <v>15</v>
      </c>
      <c r="B20" s="147" t="s">
        <v>127</v>
      </c>
      <c r="C20" s="145" t="s">
        <v>604</v>
      </c>
      <c r="D20" s="146" t="s">
        <v>128</v>
      </c>
      <c r="E20" s="145" t="s">
        <v>564</v>
      </c>
      <c r="F20" s="143">
        <v>4</v>
      </c>
      <c r="G20" s="144"/>
      <c r="H20" s="144"/>
      <c r="I20" s="143">
        <f t="shared" si="0"/>
        <v>4</v>
      </c>
      <c r="J20" s="141">
        <v>38.229999999999997</v>
      </c>
      <c r="K20" s="141">
        <v>57.35</v>
      </c>
      <c r="L20" s="142">
        <v>0</v>
      </c>
      <c r="M20" s="141">
        <f t="shared" si="1"/>
        <v>152.91999999999999</v>
      </c>
      <c r="N20" s="140"/>
      <c r="O20" s="140"/>
      <c r="P20" s="139">
        <f t="shared" ca="1" si="2"/>
        <v>261</v>
      </c>
      <c r="Q20" s="139" t="str">
        <f t="shared" ca="1" si="3"/>
        <v/>
      </c>
    </row>
    <row r="21" spans="1:17" x14ac:dyDescent="0.25">
      <c r="A21" s="153">
        <v>16</v>
      </c>
      <c r="B21" s="155" t="s">
        <v>129</v>
      </c>
      <c r="C21" s="153" t="s">
        <v>603</v>
      </c>
      <c r="D21" s="154" t="s">
        <v>128</v>
      </c>
      <c r="E21" s="153" t="s">
        <v>564</v>
      </c>
      <c r="F21" s="152">
        <v>1</v>
      </c>
      <c r="G21" s="144"/>
      <c r="H21" s="144"/>
      <c r="I21" s="152">
        <f t="shared" si="0"/>
        <v>1</v>
      </c>
      <c r="J21" s="150">
        <v>74.05</v>
      </c>
      <c r="K21" s="150">
        <v>111.07</v>
      </c>
      <c r="L21" s="151">
        <v>0</v>
      </c>
      <c r="M21" s="150">
        <f t="shared" si="1"/>
        <v>74.05</v>
      </c>
      <c r="N21" s="149"/>
      <c r="O21" s="149"/>
      <c r="P21" s="148">
        <f t="shared" ca="1" si="2"/>
        <v>261</v>
      </c>
      <c r="Q21" s="148" t="str">
        <f t="shared" ca="1" si="3"/>
        <v/>
      </c>
    </row>
    <row r="22" spans="1:17" x14ac:dyDescent="0.25">
      <c r="A22" s="145">
        <v>17</v>
      </c>
      <c r="B22" s="147" t="s">
        <v>130</v>
      </c>
      <c r="C22" s="145" t="s">
        <v>602</v>
      </c>
      <c r="D22" s="146" t="s">
        <v>128</v>
      </c>
      <c r="E22" s="145" t="s">
        <v>564</v>
      </c>
      <c r="F22" s="143">
        <v>1</v>
      </c>
      <c r="G22" s="144"/>
      <c r="H22" s="144"/>
      <c r="I22" s="143">
        <f t="shared" si="0"/>
        <v>1</v>
      </c>
      <c r="J22" s="141">
        <v>67.900000000000006</v>
      </c>
      <c r="K22" s="141">
        <v>101.85</v>
      </c>
      <c r="L22" s="142">
        <v>0</v>
      </c>
      <c r="M22" s="141">
        <f t="shared" si="1"/>
        <v>67.900000000000006</v>
      </c>
      <c r="N22" s="140"/>
      <c r="O22" s="140"/>
      <c r="P22" s="139">
        <f t="shared" ca="1" si="2"/>
        <v>261</v>
      </c>
      <c r="Q22" s="139" t="str">
        <f t="shared" ca="1" si="3"/>
        <v/>
      </c>
    </row>
    <row r="23" spans="1:17" x14ac:dyDescent="0.25">
      <c r="A23" s="153">
        <v>18</v>
      </c>
      <c r="B23" s="155" t="s">
        <v>601</v>
      </c>
      <c r="C23" s="153" t="s">
        <v>600</v>
      </c>
      <c r="D23" s="154" t="s">
        <v>128</v>
      </c>
      <c r="E23" s="153" t="s">
        <v>564</v>
      </c>
      <c r="F23" s="152">
        <v>1</v>
      </c>
      <c r="G23" s="144"/>
      <c r="H23" s="144"/>
      <c r="I23" s="152">
        <f t="shared" si="0"/>
        <v>1</v>
      </c>
      <c r="J23" s="150">
        <v>91.37</v>
      </c>
      <c r="K23" s="150">
        <v>137.06</v>
      </c>
      <c r="L23" s="151">
        <v>0</v>
      </c>
      <c r="M23" s="150">
        <f t="shared" si="1"/>
        <v>91.37</v>
      </c>
      <c r="N23" s="149"/>
      <c r="O23" s="149"/>
      <c r="P23" s="148">
        <f t="shared" ca="1" si="2"/>
        <v>261</v>
      </c>
      <c r="Q23" s="148" t="str">
        <f t="shared" ca="1" si="3"/>
        <v/>
      </c>
    </row>
    <row r="24" spans="1:17" x14ac:dyDescent="0.25">
      <c r="A24" s="145">
        <v>19</v>
      </c>
      <c r="B24" s="147" t="s">
        <v>131</v>
      </c>
      <c r="C24" s="145" t="s">
        <v>599</v>
      </c>
      <c r="D24" s="146" t="s">
        <v>128</v>
      </c>
      <c r="E24" s="145" t="s">
        <v>564</v>
      </c>
      <c r="F24" s="143">
        <v>1</v>
      </c>
      <c r="G24" s="144"/>
      <c r="H24" s="144"/>
      <c r="I24" s="143">
        <f t="shared" si="0"/>
        <v>1</v>
      </c>
      <c r="J24" s="141">
        <v>141.96</v>
      </c>
      <c r="K24" s="141">
        <v>212.94</v>
      </c>
      <c r="L24" s="142">
        <v>0</v>
      </c>
      <c r="M24" s="141">
        <f t="shared" si="1"/>
        <v>141.96</v>
      </c>
      <c r="N24" s="140"/>
      <c r="O24" s="140"/>
      <c r="P24" s="139">
        <f t="shared" ca="1" si="2"/>
        <v>261</v>
      </c>
      <c r="Q24" s="139" t="str">
        <f t="shared" ca="1" si="3"/>
        <v/>
      </c>
    </row>
    <row r="25" spans="1:17" x14ac:dyDescent="0.25">
      <c r="A25" s="153">
        <v>20</v>
      </c>
      <c r="B25" s="155" t="s">
        <v>132</v>
      </c>
      <c r="C25" s="153" t="s">
        <v>598</v>
      </c>
      <c r="D25" s="154" t="s">
        <v>128</v>
      </c>
      <c r="E25" s="153" t="s">
        <v>564</v>
      </c>
      <c r="F25" s="152">
        <v>4</v>
      </c>
      <c r="G25" s="144"/>
      <c r="H25" s="144"/>
      <c r="I25" s="152">
        <f t="shared" si="0"/>
        <v>4</v>
      </c>
      <c r="J25" s="150">
        <v>80.28</v>
      </c>
      <c r="K25" s="150">
        <v>120.42</v>
      </c>
      <c r="L25" s="151">
        <v>0</v>
      </c>
      <c r="M25" s="150">
        <f t="shared" si="1"/>
        <v>321.12</v>
      </c>
      <c r="N25" s="149"/>
      <c r="O25" s="149"/>
      <c r="P25" s="148">
        <f t="shared" ca="1" si="2"/>
        <v>261</v>
      </c>
      <c r="Q25" s="148" t="str">
        <f t="shared" ca="1" si="3"/>
        <v/>
      </c>
    </row>
    <row r="26" spans="1:17" x14ac:dyDescent="0.25">
      <c r="A26" s="145">
        <v>21</v>
      </c>
      <c r="B26" s="147" t="s">
        <v>133</v>
      </c>
      <c r="C26" s="145" t="s">
        <v>597</v>
      </c>
      <c r="D26" s="146" t="s">
        <v>128</v>
      </c>
      <c r="E26" s="145" t="s">
        <v>564</v>
      </c>
      <c r="F26" s="143">
        <v>2</v>
      </c>
      <c r="G26" s="144"/>
      <c r="H26" s="144"/>
      <c r="I26" s="143">
        <f t="shared" si="0"/>
        <v>2</v>
      </c>
      <c r="J26" s="141">
        <v>141.96</v>
      </c>
      <c r="K26" s="141">
        <v>0</v>
      </c>
      <c r="L26" s="142">
        <v>0</v>
      </c>
      <c r="M26" s="141">
        <f t="shared" si="1"/>
        <v>283.92</v>
      </c>
      <c r="N26" s="140"/>
      <c r="O26" s="140"/>
      <c r="P26" s="139">
        <f t="shared" ca="1" si="2"/>
        <v>261</v>
      </c>
      <c r="Q26" s="139" t="str">
        <f t="shared" ca="1" si="3"/>
        <v/>
      </c>
    </row>
    <row r="27" spans="1:17" x14ac:dyDescent="0.25">
      <c r="A27" s="153">
        <v>22</v>
      </c>
      <c r="B27" s="155" t="s">
        <v>134</v>
      </c>
      <c r="C27" s="153" t="s">
        <v>596</v>
      </c>
      <c r="D27" s="154" t="s">
        <v>128</v>
      </c>
      <c r="E27" s="153" t="s">
        <v>564</v>
      </c>
      <c r="F27" s="152">
        <v>5</v>
      </c>
      <c r="G27" s="144"/>
      <c r="H27" s="144"/>
      <c r="I27" s="152">
        <f t="shared" si="0"/>
        <v>5</v>
      </c>
      <c r="J27" s="150">
        <v>178.97</v>
      </c>
      <c r="K27" s="150">
        <v>268.45999999999998</v>
      </c>
      <c r="L27" s="151">
        <v>0</v>
      </c>
      <c r="M27" s="150">
        <f t="shared" si="1"/>
        <v>894.85</v>
      </c>
      <c r="N27" s="149"/>
      <c r="O27" s="149"/>
      <c r="P27" s="148">
        <f t="shared" ca="1" si="2"/>
        <v>261</v>
      </c>
      <c r="Q27" s="148" t="str">
        <f t="shared" ca="1" si="3"/>
        <v/>
      </c>
    </row>
    <row r="28" spans="1:17" x14ac:dyDescent="0.25">
      <c r="A28" s="145">
        <v>23</v>
      </c>
      <c r="B28" s="147" t="s">
        <v>135</v>
      </c>
      <c r="C28" s="145" t="s">
        <v>595</v>
      </c>
      <c r="D28" s="146" t="s">
        <v>110</v>
      </c>
      <c r="E28" s="145" t="s">
        <v>594</v>
      </c>
      <c r="F28" s="143">
        <v>61</v>
      </c>
      <c r="G28" s="144"/>
      <c r="H28" s="144"/>
      <c r="I28" s="143">
        <f t="shared" si="0"/>
        <v>61</v>
      </c>
      <c r="J28" s="141">
        <v>7.18</v>
      </c>
      <c r="K28" s="141">
        <v>12</v>
      </c>
      <c r="L28" s="142">
        <v>0</v>
      </c>
      <c r="M28" s="141">
        <f t="shared" si="1"/>
        <v>437.97999999999996</v>
      </c>
      <c r="N28" s="140"/>
      <c r="O28" s="140"/>
      <c r="P28" s="139">
        <f t="shared" ca="1" si="2"/>
        <v>261</v>
      </c>
      <c r="Q28" s="139" t="str">
        <f t="shared" ca="1" si="3"/>
        <v/>
      </c>
    </row>
    <row r="29" spans="1:17" ht="25.5" customHeight="1" x14ac:dyDescent="0.25">
      <c r="A29" s="153">
        <v>24</v>
      </c>
      <c r="B29" s="155" t="s">
        <v>136</v>
      </c>
      <c r="C29" s="153" t="s">
        <v>593</v>
      </c>
      <c r="D29" s="154" t="s">
        <v>110</v>
      </c>
      <c r="E29" s="153" t="s">
        <v>591</v>
      </c>
      <c r="F29" s="152">
        <v>1190</v>
      </c>
      <c r="G29" s="144"/>
      <c r="H29" s="144"/>
      <c r="I29" s="152">
        <f t="shared" si="0"/>
        <v>1190</v>
      </c>
      <c r="J29" s="150">
        <v>2.91</v>
      </c>
      <c r="K29" s="150">
        <v>10</v>
      </c>
      <c r="L29" s="151">
        <v>0</v>
      </c>
      <c r="M29" s="150">
        <f t="shared" si="1"/>
        <v>3462.9</v>
      </c>
      <c r="N29" s="149"/>
      <c r="O29" s="149"/>
      <c r="P29" s="148">
        <f t="shared" ca="1" si="2"/>
        <v>261</v>
      </c>
      <c r="Q29" s="148" t="str">
        <f t="shared" ca="1" si="3"/>
        <v/>
      </c>
    </row>
    <row r="30" spans="1:17" ht="25.5" customHeight="1" x14ac:dyDescent="0.25">
      <c r="A30" s="145">
        <v>25</v>
      </c>
      <c r="B30" s="147" t="s">
        <v>137</v>
      </c>
      <c r="C30" s="145" t="s">
        <v>592</v>
      </c>
      <c r="D30" s="146" t="s">
        <v>138</v>
      </c>
      <c r="E30" s="145" t="s">
        <v>591</v>
      </c>
      <c r="F30" s="143">
        <v>1350</v>
      </c>
      <c r="G30" s="144"/>
      <c r="H30" s="144"/>
      <c r="I30" s="143">
        <f t="shared" si="0"/>
        <v>1350</v>
      </c>
      <c r="J30" s="141">
        <v>5.33</v>
      </c>
      <c r="K30" s="141">
        <v>13</v>
      </c>
      <c r="L30" s="142">
        <v>0</v>
      </c>
      <c r="M30" s="141">
        <f t="shared" si="1"/>
        <v>7195.5</v>
      </c>
      <c r="N30" s="140"/>
      <c r="O30" s="140"/>
      <c r="P30" s="139">
        <f t="shared" ca="1" si="2"/>
        <v>261</v>
      </c>
      <c r="Q30" s="139" t="str">
        <f t="shared" ca="1" si="3"/>
        <v/>
      </c>
    </row>
    <row r="31" spans="1:17" x14ac:dyDescent="0.25">
      <c r="A31" s="153">
        <v>26</v>
      </c>
      <c r="B31" s="155" t="s">
        <v>139</v>
      </c>
      <c r="C31" s="153" t="s">
        <v>590</v>
      </c>
      <c r="D31" s="154" t="s">
        <v>110</v>
      </c>
      <c r="E31" s="153" t="s">
        <v>564</v>
      </c>
      <c r="F31" s="152">
        <v>1</v>
      </c>
      <c r="G31" s="144"/>
      <c r="H31" s="144"/>
      <c r="I31" s="152">
        <f t="shared" si="0"/>
        <v>1</v>
      </c>
      <c r="J31" s="150">
        <v>1680</v>
      </c>
      <c r="K31" s="150">
        <v>4100</v>
      </c>
      <c r="L31" s="151">
        <v>0</v>
      </c>
      <c r="M31" s="150">
        <f t="shared" si="1"/>
        <v>1680</v>
      </c>
      <c r="N31" s="149"/>
      <c r="O31" s="149"/>
      <c r="P31" s="148">
        <f t="shared" ca="1" si="2"/>
        <v>261</v>
      </c>
      <c r="Q31" s="148" t="str">
        <f t="shared" ca="1" si="3"/>
        <v/>
      </c>
    </row>
    <row r="32" spans="1:17" ht="25.5" customHeight="1" x14ac:dyDescent="0.25">
      <c r="A32" s="145">
        <v>27</v>
      </c>
      <c r="B32" s="147" t="s">
        <v>140</v>
      </c>
      <c r="C32" s="145" t="s">
        <v>589</v>
      </c>
      <c r="D32" s="146" t="s">
        <v>141</v>
      </c>
      <c r="E32" s="145" t="s">
        <v>564</v>
      </c>
      <c r="F32" s="143">
        <v>4</v>
      </c>
      <c r="G32" s="144"/>
      <c r="H32" s="144"/>
      <c r="I32" s="143">
        <f t="shared" si="0"/>
        <v>4</v>
      </c>
      <c r="J32" s="141">
        <v>80.72</v>
      </c>
      <c r="K32" s="141">
        <v>160</v>
      </c>
      <c r="L32" s="142">
        <v>0</v>
      </c>
      <c r="M32" s="141">
        <f t="shared" si="1"/>
        <v>322.88</v>
      </c>
      <c r="N32" s="140"/>
      <c r="O32" s="140"/>
      <c r="P32" s="139">
        <f t="shared" ca="1" si="2"/>
        <v>261</v>
      </c>
      <c r="Q32" s="139" t="str">
        <f t="shared" ca="1" si="3"/>
        <v/>
      </c>
    </row>
    <row r="33" spans="1:17" ht="38.25" customHeight="1" x14ac:dyDescent="0.25">
      <c r="A33" s="153">
        <v>28</v>
      </c>
      <c r="B33" s="155" t="s">
        <v>142</v>
      </c>
      <c r="C33" s="153" t="s">
        <v>588</v>
      </c>
      <c r="D33" s="154" t="s">
        <v>141</v>
      </c>
      <c r="E33" s="153" t="s">
        <v>564</v>
      </c>
      <c r="F33" s="152">
        <v>4</v>
      </c>
      <c r="G33" s="144"/>
      <c r="H33" s="144"/>
      <c r="I33" s="152">
        <f t="shared" si="0"/>
        <v>4</v>
      </c>
      <c r="J33" s="150">
        <v>80.73</v>
      </c>
      <c r="K33" s="150">
        <v>175</v>
      </c>
      <c r="L33" s="151">
        <v>0</v>
      </c>
      <c r="M33" s="150">
        <f t="shared" si="1"/>
        <v>322.92</v>
      </c>
      <c r="N33" s="149"/>
      <c r="O33" s="149"/>
      <c r="P33" s="148">
        <f t="shared" ca="1" si="2"/>
        <v>261</v>
      </c>
      <c r="Q33" s="148" t="str">
        <f t="shared" ca="1" si="3"/>
        <v/>
      </c>
    </row>
    <row r="34" spans="1:17" ht="51" customHeight="1" x14ac:dyDescent="0.25">
      <c r="A34" s="145">
        <v>29</v>
      </c>
      <c r="B34" s="147" t="s">
        <v>143</v>
      </c>
      <c r="C34" s="145" t="s">
        <v>587</v>
      </c>
      <c r="D34" s="146" t="s">
        <v>141</v>
      </c>
      <c r="E34" s="145" t="s">
        <v>564</v>
      </c>
      <c r="F34" s="143">
        <v>4</v>
      </c>
      <c r="G34" s="144"/>
      <c r="H34" s="144"/>
      <c r="I34" s="143">
        <f t="shared" si="0"/>
        <v>4</v>
      </c>
      <c r="J34" s="141">
        <v>107.67</v>
      </c>
      <c r="K34" s="141">
        <v>215.34</v>
      </c>
      <c r="L34" s="142">
        <v>0</v>
      </c>
      <c r="M34" s="141">
        <f t="shared" si="1"/>
        <v>430.68</v>
      </c>
      <c r="N34" s="140"/>
      <c r="O34" s="140"/>
      <c r="P34" s="139">
        <f t="shared" ca="1" si="2"/>
        <v>261</v>
      </c>
      <c r="Q34" s="139" t="str">
        <f t="shared" ca="1" si="3"/>
        <v/>
      </c>
    </row>
    <row r="35" spans="1:17" ht="51" customHeight="1" x14ac:dyDescent="0.25">
      <c r="A35" s="153">
        <v>30</v>
      </c>
      <c r="B35" s="155" t="s">
        <v>586</v>
      </c>
      <c r="C35" s="153" t="s">
        <v>585</v>
      </c>
      <c r="D35" s="154" t="s">
        <v>141</v>
      </c>
      <c r="E35" s="153" t="s">
        <v>564</v>
      </c>
      <c r="F35" s="152">
        <v>4</v>
      </c>
      <c r="G35" s="144"/>
      <c r="H35" s="144"/>
      <c r="I35" s="152">
        <f t="shared" si="0"/>
        <v>4</v>
      </c>
      <c r="J35" s="150">
        <v>233.73</v>
      </c>
      <c r="K35" s="150">
        <v>470</v>
      </c>
      <c r="L35" s="151">
        <v>0</v>
      </c>
      <c r="M35" s="150">
        <f t="shared" si="1"/>
        <v>934.92</v>
      </c>
      <c r="N35" s="149"/>
      <c r="O35" s="149"/>
      <c r="P35" s="148">
        <f t="shared" ca="1" si="2"/>
        <v>261</v>
      </c>
      <c r="Q35" s="148" t="str">
        <f t="shared" ca="1" si="3"/>
        <v/>
      </c>
    </row>
    <row r="36" spans="1:17" ht="51" customHeight="1" x14ac:dyDescent="0.25">
      <c r="A36" s="145">
        <v>31</v>
      </c>
      <c r="B36" s="147" t="s">
        <v>144</v>
      </c>
      <c r="C36" s="145" t="s">
        <v>584</v>
      </c>
      <c r="D36" s="146" t="s">
        <v>141</v>
      </c>
      <c r="E36" s="145" t="s">
        <v>564</v>
      </c>
      <c r="F36" s="143">
        <v>4</v>
      </c>
      <c r="G36" s="144"/>
      <c r="H36" s="144"/>
      <c r="I36" s="143">
        <f t="shared" si="0"/>
        <v>4</v>
      </c>
      <c r="J36" s="141">
        <v>125.7</v>
      </c>
      <c r="K36" s="141">
        <v>251</v>
      </c>
      <c r="L36" s="142">
        <v>0</v>
      </c>
      <c r="M36" s="141">
        <f t="shared" si="1"/>
        <v>502.8</v>
      </c>
      <c r="N36" s="140"/>
      <c r="O36" s="140"/>
      <c r="P36" s="139">
        <f t="shared" ca="1" si="2"/>
        <v>261</v>
      </c>
      <c r="Q36" s="139" t="str">
        <f t="shared" ca="1" si="3"/>
        <v/>
      </c>
    </row>
    <row r="37" spans="1:17" ht="63.75" customHeight="1" x14ac:dyDescent="0.25">
      <c r="A37" s="153">
        <v>32</v>
      </c>
      <c r="B37" s="155" t="s">
        <v>145</v>
      </c>
      <c r="C37" s="153" t="s">
        <v>583</v>
      </c>
      <c r="D37" s="154" t="s">
        <v>141</v>
      </c>
      <c r="E37" s="153" t="s">
        <v>564</v>
      </c>
      <c r="F37" s="152">
        <v>1</v>
      </c>
      <c r="G37" s="144"/>
      <c r="H37" s="144"/>
      <c r="I37" s="152">
        <f t="shared" si="0"/>
        <v>1</v>
      </c>
      <c r="J37" s="150">
        <v>422.86</v>
      </c>
      <c r="K37" s="150">
        <v>1267.8599999999999</v>
      </c>
      <c r="L37" s="151">
        <v>0</v>
      </c>
      <c r="M37" s="150">
        <f t="shared" si="1"/>
        <v>422.86</v>
      </c>
      <c r="N37" s="149"/>
      <c r="O37" s="149"/>
      <c r="P37" s="148">
        <f t="shared" ca="1" si="2"/>
        <v>261</v>
      </c>
      <c r="Q37" s="148" t="str">
        <f t="shared" ca="1" si="3"/>
        <v/>
      </c>
    </row>
    <row r="38" spans="1:17" ht="63.75" customHeight="1" x14ac:dyDescent="0.25">
      <c r="A38" s="145">
        <v>33</v>
      </c>
      <c r="B38" s="147" t="s">
        <v>146</v>
      </c>
      <c r="C38" s="145" t="s">
        <v>582</v>
      </c>
      <c r="D38" s="146" t="s">
        <v>141</v>
      </c>
      <c r="E38" s="145" t="s">
        <v>564</v>
      </c>
      <c r="F38" s="143">
        <v>2</v>
      </c>
      <c r="G38" s="144"/>
      <c r="H38" s="144"/>
      <c r="I38" s="143">
        <f t="shared" ref="I38:I69" si="4">IF(F38="","",F38+IF(G38="",0,G38)-IF(H38="",0,H38))</f>
        <v>2</v>
      </c>
      <c r="J38" s="141">
        <v>180.67</v>
      </c>
      <c r="K38" s="141">
        <v>361</v>
      </c>
      <c r="L38" s="142">
        <v>0</v>
      </c>
      <c r="M38" s="141">
        <f t="shared" ref="M38:M54" si="5">IF(OR(I38="",J38=""),"",I38*J38)</f>
        <v>361.34</v>
      </c>
      <c r="N38" s="140"/>
      <c r="O38" s="140"/>
      <c r="P38" s="139">
        <f t="shared" ref="P38:P69" ca="1" si="6">IF(OR(F38="",F38=0),"",IF(O38="",TODAY()-DATE(2026,1,1),O38-DATE(2026,1,1)))</f>
        <v>261</v>
      </c>
      <c r="Q38" s="139" t="str">
        <f t="shared" ref="Q38:Q54" ca="1" si="7">IF(N38="","",IF(O38="",TODAY()-N38+0,O38-N38))</f>
        <v/>
      </c>
    </row>
    <row r="39" spans="1:17" ht="51" customHeight="1" x14ac:dyDescent="0.25">
      <c r="A39" s="153">
        <v>34</v>
      </c>
      <c r="B39" s="155" t="s">
        <v>147</v>
      </c>
      <c r="C39" s="153" t="s">
        <v>581</v>
      </c>
      <c r="D39" s="154" t="s">
        <v>141</v>
      </c>
      <c r="E39" s="153" t="s">
        <v>564</v>
      </c>
      <c r="F39" s="152">
        <v>2</v>
      </c>
      <c r="G39" s="144"/>
      <c r="H39" s="144"/>
      <c r="I39" s="152">
        <f t="shared" si="4"/>
        <v>2</v>
      </c>
      <c r="J39" s="150">
        <v>126.85</v>
      </c>
      <c r="K39" s="150">
        <v>253</v>
      </c>
      <c r="L39" s="151">
        <v>0</v>
      </c>
      <c r="M39" s="150">
        <f t="shared" si="5"/>
        <v>253.7</v>
      </c>
      <c r="N39" s="149"/>
      <c r="O39" s="149"/>
      <c r="P39" s="148">
        <f t="shared" ca="1" si="6"/>
        <v>261</v>
      </c>
      <c r="Q39" s="148" t="str">
        <f t="shared" ca="1" si="7"/>
        <v/>
      </c>
    </row>
    <row r="40" spans="1:17" ht="63.75" customHeight="1" x14ac:dyDescent="0.25">
      <c r="A40" s="145">
        <v>35</v>
      </c>
      <c r="B40" s="147" t="s">
        <v>148</v>
      </c>
      <c r="C40" s="145" t="s">
        <v>580</v>
      </c>
      <c r="D40" s="146" t="s">
        <v>141</v>
      </c>
      <c r="E40" s="145" t="s">
        <v>564</v>
      </c>
      <c r="F40" s="143">
        <v>1</v>
      </c>
      <c r="G40" s="144"/>
      <c r="H40" s="144"/>
      <c r="I40" s="143">
        <f t="shared" si="4"/>
        <v>1</v>
      </c>
      <c r="J40" s="141">
        <v>237.37</v>
      </c>
      <c r="K40" s="141">
        <v>475</v>
      </c>
      <c r="L40" s="142">
        <v>0</v>
      </c>
      <c r="M40" s="141">
        <f t="shared" si="5"/>
        <v>237.37</v>
      </c>
      <c r="N40" s="140"/>
      <c r="O40" s="140"/>
      <c r="P40" s="139">
        <f t="shared" ca="1" si="6"/>
        <v>261</v>
      </c>
      <c r="Q40" s="139" t="str">
        <f t="shared" ca="1" si="7"/>
        <v/>
      </c>
    </row>
    <row r="41" spans="1:17" ht="51" customHeight="1" x14ac:dyDescent="0.25">
      <c r="A41" s="153">
        <v>36</v>
      </c>
      <c r="B41" s="155" t="s">
        <v>149</v>
      </c>
      <c r="C41" s="153" t="s">
        <v>579</v>
      </c>
      <c r="D41" s="154" t="s">
        <v>141</v>
      </c>
      <c r="E41" s="153" t="s">
        <v>564</v>
      </c>
      <c r="F41" s="152">
        <v>3</v>
      </c>
      <c r="G41" s="144"/>
      <c r="H41" s="144"/>
      <c r="I41" s="152">
        <f t="shared" si="4"/>
        <v>3</v>
      </c>
      <c r="J41" s="150">
        <v>38.43</v>
      </c>
      <c r="K41" s="150">
        <v>77</v>
      </c>
      <c r="L41" s="151">
        <v>0</v>
      </c>
      <c r="M41" s="150">
        <f t="shared" si="5"/>
        <v>115.28999999999999</v>
      </c>
      <c r="N41" s="149"/>
      <c r="O41" s="149"/>
      <c r="P41" s="148">
        <f t="shared" ca="1" si="6"/>
        <v>261</v>
      </c>
      <c r="Q41" s="148" t="str">
        <f t="shared" ca="1" si="7"/>
        <v/>
      </c>
    </row>
    <row r="42" spans="1:17" ht="51" customHeight="1" x14ac:dyDescent="0.25">
      <c r="A42" s="145">
        <v>37</v>
      </c>
      <c r="B42" s="147" t="s">
        <v>150</v>
      </c>
      <c r="C42" s="145" t="s">
        <v>578</v>
      </c>
      <c r="D42" s="146" t="s">
        <v>141</v>
      </c>
      <c r="E42" s="145" t="s">
        <v>564</v>
      </c>
      <c r="F42" s="143">
        <v>3</v>
      </c>
      <c r="G42" s="144"/>
      <c r="H42" s="144"/>
      <c r="I42" s="143">
        <f t="shared" si="4"/>
        <v>3</v>
      </c>
      <c r="J42" s="141">
        <v>38.43</v>
      </c>
      <c r="K42" s="141">
        <v>77</v>
      </c>
      <c r="L42" s="142">
        <v>0</v>
      </c>
      <c r="M42" s="141">
        <f t="shared" si="5"/>
        <v>115.28999999999999</v>
      </c>
      <c r="N42" s="140"/>
      <c r="O42" s="140"/>
      <c r="P42" s="139">
        <f t="shared" ca="1" si="6"/>
        <v>261</v>
      </c>
      <c r="Q42" s="139" t="str">
        <f t="shared" ca="1" si="7"/>
        <v/>
      </c>
    </row>
    <row r="43" spans="1:17" ht="51" customHeight="1" x14ac:dyDescent="0.25">
      <c r="A43" s="153">
        <v>38</v>
      </c>
      <c r="B43" s="155" t="s">
        <v>577</v>
      </c>
      <c r="C43" s="153" t="s">
        <v>576</v>
      </c>
      <c r="D43" s="154" t="s">
        <v>141</v>
      </c>
      <c r="E43" s="153" t="s">
        <v>564</v>
      </c>
      <c r="F43" s="152">
        <v>8</v>
      </c>
      <c r="G43" s="144"/>
      <c r="H43" s="144"/>
      <c r="I43" s="152">
        <f t="shared" si="4"/>
        <v>8</v>
      </c>
      <c r="J43" s="150">
        <v>9.61</v>
      </c>
      <c r="K43" s="150">
        <v>20</v>
      </c>
      <c r="L43" s="151">
        <v>0</v>
      </c>
      <c r="M43" s="150">
        <f t="shared" si="5"/>
        <v>76.88</v>
      </c>
      <c r="N43" s="149"/>
      <c r="O43" s="149"/>
      <c r="P43" s="148">
        <f t="shared" ca="1" si="6"/>
        <v>261</v>
      </c>
      <c r="Q43" s="148" t="str">
        <f t="shared" ca="1" si="7"/>
        <v/>
      </c>
    </row>
    <row r="44" spans="1:17" ht="51" customHeight="1" x14ac:dyDescent="0.25">
      <c r="A44" s="145">
        <v>39</v>
      </c>
      <c r="B44" s="147" t="s">
        <v>151</v>
      </c>
      <c r="C44" s="145" t="s">
        <v>575</v>
      </c>
      <c r="D44" s="146" t="s">
        <v>141</v>
      </c>
      <c r="E44" s="145" t="s">
        <v>564</v>
      </c>
      <c r="F44" s="143">
        <v>4</v>
      </c>
      <c r="G44" s="144"/>
      <c r="H44" s="144"/>
      <c r="I44" s="143">
        <f t="shared" si="4"/>
        <v>4</v>
      </c>
      <c r="J44" s="141">
        <v>11.53</v>
      </c>
      <c r="K44" s="141">
        <v>25</v>
      </c>
      <c r="L44" s="142">
        <v>0</v>
      </c>
      <c r="M44" s="141">
        <f t="shared" si="5"/>
        <v>46.12</v>
      </c>
      <c r="N44" s="140"/>
      <c r="O44" s="140"/>
      <c r="P44" s="139">
        <f t="shared" ca="1" si="6"/>
        <v>261</v>
      </c>
      <c r="Q44" s="139" t="str">
        <f t="shared" ca="1" si="7"/>
        <v/>
      </c>
    </row>
    <row r="45" spans="1:17" ht="51" customHeight="1" x14ac:dyDescent="0.25">
      <c r="A45" s="153">
        <v>40</v>
      </c>
      <c r="B45" s="155" t="s">
        <v>152</v>
      </c>
      <c r="C45" s="153" t="s">
        <v>574</v>
      </c>
      <c r="D45" s="154" t="s">
        <v>141</v>
      </c>
      <c r="E45" s="153" t="s">
        <v>564</v>
      </c>
      <c r="F45" s="152">
        <v>4</v>
      </c>
      <c r="G45" s="144"/>
      <c r="H45" s="144"/>
      <c r="I45" s="152">
        <f t="shared" si="4"/>
        <v>4</v>
      </c>
      <c r="J45" s="150">
        <v>13.46</v>
      </c>
      <c r="K45" s="150">
        <v>27</v>
      </c>
      <c r="L45" s="151">
        <v>0</v>
      </c>
      <c r="M45" s="150">
        <f t="shared" si="5"/>
        <v>53.84</v>
      </c>
      <c r="N45" s="149"/>
      <c r="O45" s="149"/>
      <c r="P45" s="148">
        <f t="shared" ca="1" si="6"/>
        <v>261</v>
      </c>
      <c r="Q45" s="148" t="str">
        <f t="shared" ca="1" si="7"/>
        <v/>
      </c>
    </row>
    <row r="46" spans="1:17" ht="51" customHeight="1" x14ac:dyDescent="0.25">
      <c r="A46" s="145">
        <v>41</v>
      </c>
      <c r="B46" s="147" t="s">
        <v>153</v>
      </c>
      <c r="C46" s="145" t="s">
        <v>573</v>
      </c>
      <c r="D46" s="146" t="s">
        <v>141</v>
      </c>
      <c r="E46" s="145" t="s">
        <v>564</v>
      </c>
      <c r="F46" s="143">
        <v>4</v>
      </c>
      <c r="G46" s="144"/>
      <c r="H46" s="144"/>
      <c r="I46" s="143">
        <f t="shared" si="4"/>
        <v>4</v>
      </c>
      <c r="J46" s="141">
        <v>15.38</v>
      </c>
      <c r="K46" s="141">
        <v>30.76</v>
      </c>
      <c r="L46" s="142">
        <v>0</v>
      </c>
      <c r="M46" s="141">
        <f t="shared" si="5"/>
        <v>61.52</v>
      </c>
      <c r="N46" s="140"/>
      <c r="O46" s="140"/>
      <c r="P46" s="139">
        <f t="shared" ca="1" si="6"/>
        <v>261</v>
      </c>
      <c r="Q46" s="139" t="str">
        <f t="shared" ca="1" si="7"/>
        <v/>
      </c>
    </row>
    <row r="47" spans="1:17" ht="25.5" customHeight="1" x14ac:dyDescent="0.25">
      <c r="A47" s="153">
        <v>42</v>
      </c>
      <c r="B47" s="155" t="s">
        <v>154</v>
      </c>
      <c r="C47" s="153" t="s">
        <v>572</v>
      </c>
      <c r="D47" s="154" t="s">
        <v>116</v>
      </c>
      <c r="E47" s="153" t="s">
        <v>564</v>
      </c>
      <c r="F47" s="152">
        <v>1</v>
      </c>
      <c r="G47" s="144"/>
      <c r="H47" s="144"/>
      <c r="I47" s="152">
        <f t="shared" si="4"/>
        <v>1</v>
      </c>
      <c r="J47" s="150">
        <v>500</v>
      </c>
      <c r="K47" s="150">
        <v>500</v>
      </c>
      <c r="L47" s="151">
        <v>0</v>
      </c>
      <c r="M47" s="150">
        <f t="shared" si="5"/>
        <v>500</v>
      </c>
      <c r="N47" s="149"/>
      <c r="O47" s="149"/>
      <c r="P47" s="148">
        <f t="shared" ca="1" si="6"/>
        <v>261</v>
      </c>
      <c r="Q47" s="148" t="str">
        <f t="shared" ca="1" si="7"/>
        <v/>
      </c>
    </row>
    <row r="48" spans="1:17" x14ac:dyDescent="0.25">
      <c r="A48" s="145">
        <v>43</v>
      </c>
      <c r="B48" s="147" t="s">
        <v>155</v>
      </c>
      <c r="C48" s="145" t="s">
        <v>571</v>
      </c>
      <c r="D48" s="146" t="s">
        <v>112</v>
      </c>
      <c r="E48" s="145" t="s">
        <v>564</v>
      </c>
      <c r="F48" s="143">
        <v>7</v>
      </c>
      <c r="G48" s="144"/>
      <c r="H48" s="144"/>
      <c r="I48" s="143">
        <f t="shared" si="4"/>
        <v>7</v>
      </c>
      <c r="J48" s="141">
        <v>234.82</v>
      </c>
      <c r="K48" s="141">
        <v>469.64</v>
      </c>
      <c r="L48" s="142">
        <v>0</v>
      </c>
      <c r="M48" s="141">
        <f t="shared" si="5"/>
        <v>1643.74</v>
      </c>
      <c r="N48" s="140"/>
      <c r="O48" s="140"/>
      <c r="P48" s="139">
        <f t="shared" ca="1" si="6"/>
        <v>261</v>
      </c>
      <c r="Q48" s="139" t="str">
        <f t="shared" ca="1" si="7"/>
        <v/>
      </c>
    </row>
    <row r="49" spans="1:17" x14ac:dyDescent="0.25">
      <c r="A49" s="153">
        <v>44</v>
      </c>
      <c r="B49" s="155" t="s">
        <v>156</v>
      </c>
      <c r="C49" s="153" t="s">
        <v>570</v>
      </c>
      <c r="D49" s="154" t="s">
        <v>112</v>
      </c>
      <c r="E49" s="153" t="s">
        <v>564</v>
      </c>
      <c r="F49" s="152">
        <v>2</v>
      </c>
      <c r="G49" s="144"/>
      <c r="H49" s="144"/>
      <c r="I49" s="152">
        <f t="shared" si="4"/>
        <v>2</v>
      </c>
      <c r="J49" s="150">
        <v>171.82</v>
      </c>
      <c r="K49" s="150">
        <v>257.73</v>
      </c>
      <c r="L49" s="151">
        <v>0</v>
      </c>
      <c r="M49" s="150">
        <f t="shared" si="5"/>
        <v>343.64</v>
      </c>
      <c r="N49" s="149"/>
      <c r="O49" s="149"/>
      <c r="P49" s="148">
        <f t="shared" ca="1" si="6"/>
        <v>261</v>
      </c>
      <c r="Q49" s="148" t="str">
        <f t="shared" ca="1" si="7"/>
        <v/>
      </c>
    </row>
    <row r="50" spans="1:17" ht="38.25" customHeight="1" x14ac:dyDescent="0.25">
      <c r="A50" s="145">
        <v>45</v>
      </c>
      <c r="B50" s="147" t="s">
        <v>157</v>
      </c>
      <c r="C50" s="145" t="s">
        <v>569</v>
      </c>
      <c r="D50" s="146" t="s">
        <v>141</v>
      </c>
      <c r="E50" s="145" t="s">
        <v>564</v>
      </c>
      <c r="F50" s="143">
        <v>2</v>
      </c>
      <c r="G50" s="144"/>
      <c r="H50" s="144"/>
      <c r="I50" s="143">
        <f t="shared" si="4"/>
        <v>2</v>
      </c>
      <c r="J50" s="141">
        <v>49.98</v>
      </c>
      <c r="K50" s="141">
        <v>99.96</v>
      </c>
      <c r="L50" s="142">
        <v>0</v>
      </c>
      <c r="M50" s="141">
        <f t="shared" si="5"/>
        <v>99.96</v>
      </c>
      <c r="N50" s="140"/>
      <c r="O50" s="140"/>
      <c r="P50" s="139">
        <f t="shared" ca="1" si="6"/>
        <v>261</v>
      </c>
      <c r="Q50" s="139" t="str">
        <f t="shared" ca="1" si="7"/>
        <v/>
      </c>
    </row>
    <row r="51" spans="1:17" x14ac:dyDescent="0.25">
      <c r="A51" s="153">
        <v>46</v>
      </c>
      <c r="B51" s="155" t="s">
        <v>158</v>
      </c>
      <c r="C51" s="153" t="s">
        <v>568</v>
      </c>
      <c r="D51" s="154" t="s">
        <v>110</v>
      </c>
      <c r="E51" s="153" t="s">
        <v>564</v>
      </c>
      <c r="F51" s="152">
        <v>1</v>
      </c>
      <c r="G51" s="144"/>
      <c r="H51" s="144"/>
      <c r="I51" s="152">
        <f t="shared" si="4"/>
        <v>1</v>
      </c>
      <c r="J51" s="150">
        <v>90</v>
      </c>
      <c r="K51" s="150">
        <v>99</v>
      </c>
      <c r="L51" s="151">
        <v>0</v>
      </c>
      <c r="M51" s="150">
        <f t="shared" si="5"/>
        <v>90</v>
      </c>
      <c r="N51" s="149"/>
      <c r="O51" s="149"/>
      <c r="P51" s="148">
        <f t="shared" ca="1" si="6"/>
        <v>261</v>
      </c>
      <c r="Q51" s="148" t="str">
        <f t="shared" ca="1" si="7"/>
        <v/>
      </c>
    </row>
    <row r="52" spans="1:17" x14ac:dyDescent="0.25">
      <c r="A52" s="145">
        <v>47</v>
      </c>
      <c r="B52" s="147" t="s">
        <v>159</v>
      </c>
      <c r="C52" s="145" t="s">
        <v>567</v>
      </c>
      <c r="D52" s="146" t="s">
        <v>128</v>
      </c>
      <c r="E52" s="145" t="s">
        <v>564</v>
      </c>
      <c r="F52" s="143">
        <v>1</v>
      </c>
      <c r="G52" s="144"/>
      <c r="H52" s="144"/>
      <c r="I52" s="143">
        <f t="shared" si="4"/>
        <v>1</v>
      </c>
      <c r="J52" s="141">
        <v>20</v>
      </c>
      <c r="K52" s="141">
        <v>22</v>
      </c>
      <c r="L52" s="142">
        <v>0</v>
      </c>
      <c r="M52" s="141">
        <f t="shared" si="5"/>
        <v>20</v>
      </c>
      <c r="N52" s="140"/>
      <c r="O52" s="140"/>
      <c r="P52" s="139">
        <f t="shared" ca="1" si="6"/>
        <v>261</v>
      </c>
      <c r="Q52" s="139" t="str">
        <f t="shared" ca="1" si="7"/>
        <v/>
      </c>
    </row>
    <row r="53" spans="1:17" x14ac:dyDescent="0.25">
      <c r="A53" s="153">
        <v>48</v>
      </c>
      <c r="B53" s="155" t="s">
        <v>160</v>
      </c>
      <c r="C53" s="153" t="s">
        <v>566</v>
      </c>
      <c r="D53" s="154" t="s">
        <v>161</v>
      </c>
      <c r="E53" s="153" t="s">
        <v>564</v>
      </c>
      <c r="F53" s="152">
        <v>4</v>
      </c>
      <c r="G53" s="144"/>
      <c r="H53" s="144"/>
      <c r="I53" s="152">
        <f t="shared" si="4"/>
        <v>4</v>
      </c>
      <c r="J53" s="150">
        <v>16.25</v>
      </c>
      <c r="K53" s="150">
        <v>17.88</v>
      </c>
      <c r="L53" s="151">
        <v>0</v>
      </c>
      <c r="M53" s="150">
        <f t="shared" si="5"/>
        <v>65</v>
      </c>
      <c r="N53" s="149"/>
      <c r="O53" s="149"/>
      <c r="P53" s="148">
        <f t="shared" ca="1" si="6"/>
        <v>261</v>
      </c>
      <c r="Q53" s="148" t="str">
        <f t="shared" ca="1" si="7"/>
        <v/>
      </c>
    </row>
    <row r="54" spans="1:17" x14ac:dyDescent="0.25">
      <c r="A54" s="145">
        <v>49</v>
      </c>
      <c r="B54" s="147" t="s">
        <v>162</v>
      </c>
      <c r="C54" s="145" t="s">
        <v>565</v>
      </c>
      <c r="D54" s="146" t="s">
        <v>161</v>
      </c>
      <c r="E54" s="145" t="s">
        <v>564</v>
      </c>
      <c r="F54" s="143">
        <v>1</v>
      </c>
      <c r="G54" s="144"/>
      <c r="H54" s="144"/>
      <c r="I54" s="143">
        <f t="shared" si="4"/>
        <v>1</v>
      </c>
      <c r="J54" s="141">
        <v>10</v>
      </c>
      <c r="K54" s="141">
        <v>11</v>
      </c>
      <c r="L54" s="142">
        <v>0</v>
      </c>
      <c r="M54" s="141">
        <f t="shared" si="5"/>
        <v>10</v>
      </c>
      <c r="N54" s="140"/>
      <c r="O54" s="140"/>
      <c r="P54" s="139">
        <f t="shared" ca="1" si="6"/>
        <v>261</v>
      </c>
      <c r="Q54" s="139" t="str">
        <f t="shared" ca="1" si="7"/>
        <v/>
      </c>
    </row>
    <row r="55" spans="1:17" x14ac:dyDescent="0.25">
      <c r="A55" s="135"/>
      <c r="B55" s="135" t="s">
        <v>61</v>
      </c>
      <c r="C55" s="135"/>
      <c r="D55" s="135"/>
      <c r="E55" s="135"/>
      <c r="F55" s="138">
        <f>SUBTOTAL(109,F6:F54)</f>
        <v>2777</v>
      </c>
      <c r="G55" s="138">
        <f>SUBTOTAL(109,G6:G54)</f>
        <v>8</v>
      </c>
      <c r="H55" s="138">
        <f>SUBTOTAL(109,H6:H54)</f>
        <v>0</v>
      </c>
      <c r="I55" s="138">
        <f>SUBTOTAL(109,I6:I54)</f>
        <v>2785</v>
      </c>
      <c r="J55" s="135"/>
      <c r="K55" s="135"/>
      <c r="L55" s="135"/>
      <c r="M55" s="137">
        <f>SUBTOTAL(109,M6:M54)</f>
        <v>34940.5</v>
      </c>
      <c r="N55" s="136"/>
      <c r="O55" s="135"/>
      <c r="P55" s="134"/>
      <c r="Q55" s="134"/>
    </row>
    <row r="57" spans="1:17" x14ac:dyDescent="0.25">
      <c r="B57" s="133" t="s">
        <v>563</v>
      </c>
    </row>
    <row r="58" spans="1:17" x14ac:dyDescent="0.25">
      <c r="B58" s="132" t="s">
        <v>562</v>
      </c>
    </row>
    <row r="59" spans="1:17" x14ac:dyDescent="0.25">
      <c r="B59" s="132" t="s">
        <v>561</v>
      </c>
    </row>
    <row r="60" spans="1:17" x14ac:dyDescent="0.25">
      <c r="B60" s="132" t="s">
        <v>560</v>
      </c>
    </row>
    <row r="61" spans="1:17" x14ac:dyDescent="0.25">
      <c r="B61" s="132" t="s">
        <v>559</v>
      </c>
    </row>
    <row r="62" spans="1:17" x14ac:dyDescent="0.25">
      <c r="B62" s="132" t="s">
        <v>558</v>
      </c>
    </row>
    <row r="63" spans="1:17" x14ac:dyDescent="0.25">
      <c r="B63" s="132" t="s">
        <v>557</v>
      </c>
    </row>
  </sheetData>
  <autoFilter ref="A5:Q54" xr:uid="{00000000-0009-0000-0000-000000000000}"/>
  <mergeCells count="3">
    <mergeCell ref="A1:P1"/>
    <mergeCell ref="A2:P2"/>
    <mergeCell ref="A3:P3"/>
  </mergeCells>
  <dataValidations count="1">
    <dataValidation type="date" operator="greaterThan" allowBlank="1" showErrorMessage="1" errorTitle="Enter a real date" error="Please enter a valid date (e.g. 16-Aug-2026 or 16/08/2026 as a date, not text)." sqref="N6:O6 O7:O9 N9 N10:O54" xr:uid="{00000000-0002-0000-0000-000000000000}">
      <formula1>DATE(2000,1,1)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D9847-0C13-4FBA-A16D-2C57A44608AC}">
  <dimension ref="A1:N18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F25" sqref="F25"/>
    </sheetView>
  </sheetViews>
  <sheetFormatPr defaultColWidth="8.7109375" defaultRowHeight="15" x14ac:dyDescent="0.25"/>
  <cols>
    <col min="1" max="1" width="6" customWidth="1"/>
    <col min="2" max="2" width="28" customWidth="1"/>
    <col min="3" max="3" width="12" customWidth="1"/>
    <col min="4" max="4" width="20" customWidth="1"/>
    <col min="5" max="5" width="9" customWidth="1"/>
    <col min="6" max="6" width="11" customWidth="1"/>
    <col min="7" max="11" width="13" customWidth="1"/>
    <col min="12" max="12" width="10" customWidth="1"/>
    <col min="13" max="13" width="30.5703125" customWidth="1"/>
    <col min="14" max="14" width="10" customWidth="1"/>
  </cols>
  <sheetData>
    <row r="1" spans="1:14" ht="25.5" customHeight="1" x14ac:dyDescent="0.25">
      <c r="A1" s="180" t="s">
        <v>105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</row>
    <row r="2" spans="1:14" x14ac:dyDescent="0.25">
      <c r="A2" s="181" t="s">
        <v>634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</row>
    <row r="3" spans="1:14" ht="15.75" customHeight="1" x14ac:dyDescent="0.25">
      <c r="A3" s="181" t="s">
        <v>657</v>
      </c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</row>
    <row r="5" spans="1:14" ht="42" customHeight="1" x14ac:dyDescent="0.25">
      <c r="A5" s="158" t="s">
        <v>632</v>
      </c>
      <c r="B5" s="158" t="s">
        <v>656</v>
      </c>
      <c r="C5" s="158" t="s">
        <v>107</v>
      </c>
      <c r="D5" s="158" t="s">
        <v>655</v>
      </c>
      <c r="E5" s="158" t="s">
        <v>654</v>
      </c>
      <c r="F5" s="158" t="s">
        <v>625</v>
      </c>
      <c r="G5" s="158" t="s">
        <v>653</v>
      </c>
      <c r="H5" s="158" t="s">
        <v>652</v>
      </c>
      <c r="I5" s="158" t="s">
        <v>651</v>
      </c>
      <c r="J5" s="158" t="s">
        <v>650</v>
      </c>
      <c r="K5" s="158" t="s">
        <v>649</v>
      </c>
      <c r="L5" s="158" t="s">
        <v>648</v>
      </c>
      <c r="M5" s="158" t="s">
        <v>647</v>
      </c>
      <c r="N5" s="158" t="s">
        <v>57</v>
      </c>
    </row>
    <row r="6" spans="1:14" x14ac:dyDescent="0.25">
      <c r="A6" s="153">
        <v>1</v>
      </c>
      <c r="B6" s="169" t="s">
        <v>643</v>
      </c>
      <c r="C6" s="170" t="s">
        <v>643</v>
      </c>
      <c r="D6" s="169" t="s">
        <v>646</v>
      </c>
      <c r="E6" s="168">
        <v>4</v>
      </c>
      <c r="F6" s="167">
        <v>565</v>
      </c>
      <c r="G6" s="150">
        <f>IF(OR(E6="",F6=""),"",E6*F6)</f>
        <v>2260</v>
      </c>
      <c r="H6" s="167"/>
      <c r="I6" s="167"/>
      <c r="J6" s="149">
        <v>46260</v>
      </c>
      <c r="K6" s="149">
        <v>46304</v>
      </c>
      <c r="L6" s="166"/>
      <c r="M6" s="165" t="s">
        <v>641</v>
      </c>
      <c r="N6" s="153" t="s">
        <v>640</v>
      </c>
    </row>
    <row r="7" spans="1:14" x14ac:dyDescent="0.25">
      <c r="A7" s="153">
        <v>2</v>
      </c>
      <c r="B7" s="169" t="s">
        <v>643</v>
      </c>
      <c r="C7" s="170" t="s">
        <v>643</v>
      </c>
      <c r="D7" s="169" t="s">
        <v>645</v>
      </c>
      <c r="E7" s="168">
        <v>4</v>
      </c>
      <c r="F7" s="167">
        <v>740</v>
      </c>
      <c r="G7" s="150">
        <f>IF(OR(E7="",F7=""),"",E7*F7)</f>
        <v>2960</v>
      </c>
      <c r="H7" s="167"/>
      <c r="I7" s="167"/>
      <c r="J7" s="149">
        <v>46260</v>
      </c>
      <c r="K7" s="149">
        <v>46304</v>
      </c>
      <c r="L7" s="166"/>
      <c r="M7" s="165" t="s">
        <v>641</v>
      </c>
      <c r="N7" s="153" t="s">
        <v>640</v>
      </c>
    </row>
    <row r="8" spans="1:14" x14ac:dyDescent="0.25">
      <c r="A8" s="153">
        <v>3</v>
      </c>
      <c r="B8" s="169" t="s">
        <v>643</v>
      </c>
      <c r="C8" s="170" t="s">
        <v>643</v>
      </c>
      <c r="D8" s="169" t="s">
        <v>644</v>
      </c>
      <c r="E8" s="168">
        <v>4</v>
      </c>
      <c r="F8" s="167">
        <v>475</v>
      </c>
      <c r="G8" s="150">
        <f>IF(OR(E8="",F8=""),"",E8*F8)</f>
        <v>1900</v>
      </c>
      <c r="H8" s="167"/>
      <c r="I8" s="167"/>
      <c r="J8" s="149">
        <v>46260</v>
      </c>
      <c r="K8" s="149">
        <v>46304</v>
      </c>
      <c r="L8" s="166"/>
      <c r="M8" s="165" t="s">
        <v>641</v>
      </c>
      <c r="N8" s="153" t="s">
        <v>640</v>
      </c>
    </row>
    <row r="9" spans="1:14" x14ac:dyDescent="0.25">
      <c r="A9" s="153">
        <v>4</v>
      </c>
      <c r="B9" s="169" t="s">
        <v>643</v>
      </c>
      <c r="C9" s="170" t="s">
        <v>643</v>
      </c>
      <c r="D9" s="169" t="s">
        <v>642</v>
      </c>
      <c r="E9" s="168">
        <v>4</v>
      </c>
      <c r="F9" s="167">
        <v>346.7</v>
      </c>
      <c r="G9" s="150">
        <f>IF(OR(E9="",F9=""),"",E9*F9)</f>
        <v>1386.8</v>
      </c>
      <c r="H9" s="167"/>
      <c r="I9" s="167"/>
      <c r="J9" s="149">
        <v>46260</v>
      </c>
      <c r="K9" s="149">
        <v>46304</v>
      </c>
      <c r="L9" s="166"/>
      <c r="M9" s="165" t="s">
        <v>641</v>
      </c>
      <c r="N9" s="153" t="s">
        <v>640</v>
      </c>
    </row>
    <row r="10" spans="1:14" x14ac:dyDescent="0.25">
      <c r="A10" s="161"/>
      <c r="B10" s="161"/>
      <c r="C10" s="161"/>
      <c r="D10" s="161"/>
      <c r="E10" s="164"/>
      <c r="F10" s="163"/>
      <c r="G10" s="163"/>
      <c r="H10" s="163"/>
      <c r="I10" s="163"/>
      <c r="J10" s="162"/>
      <c r="K10" s="162"/>
      <c r="L10" s="161"/>
      <c r="M10" s="161"/>
      <c r="N10" s="161"/>
    </row>
    <row r="11" spans="1:14" x14ac:dyDescent="0.25">
      <c r="A11" s="135"/>
      <c r="B11" s="135" t="s">
        <v>61</v>
      </c>
      <c r="C11" s="135"/>
      <c r="D11" s="135"/>
      <c r="E11" s="138">
        <f>SUBTOTAL(109,E6:E9)</f>
        <v>16</v>
      </c>
      <c r="F11" s="135"/>
      <c r="G11" s="137">
        <f>SUBTOTAL(109,G6:G9)</f>
        <v>8506.7999999999993</v>
      </c>
      <c r="H11" s="135"/>
      <c r="I11" s="135"/>
      <c r="J11" s="135"/>
      <c r="K11" s="135"/>
      <c r="L11" s="135"/>
      <c r="M11" s="135"/>
      <c r="N11" s="135"/>
    </row>
    <row r="13" spans="1:14" x14ac:dyDescent="0.25">
      <c r="B13" s="133" t="s">
        <v>563</v>
      </c>
    </row>
    <row r="14" spans="1:14" x14ac:dyDescent="0.25">
      <c r="B14" s="132" t="s">
        <v>639</v>
      </c>
    </row>
    <row r="15" spans="1:14" x14ac:dyDescent="0.25">
      <c r="B15" s="132" t="s">
        <v>638</v>
      </c>
    </row>
    <row r="16" spans="1:14" x14ac:dyDescent="0.25">
      <c r="B16" s="132" t="s">
        <v>637</v>
      </c>
    </row>
    <row r="17" spans="2:2" x14ac:dyDescent="0.25">
      <c r="B17" s="132" t="s">
        <v>636</v>
      </c>
    </row>
    <row r="18" spans="2:2" x14ac:dyDescent="0.25">
      <c r="B18" s="132" t="s">
        <v>635</v>
      </c>
    </row>
  </sheetData>
  <autoFilter ref="A5:N9" xr:uid="{00000000-0009-0000-0000-000001000000}"/>
  <mergeCells count="3">
    <mergeCell ref="A1:N1"/>
    <mergeCell ref="A2:N2"/>
    <mergeCell ref="A3:N3"/>
  </mergeCells>
  <dataValidations count="1">
    <dataValidation type="list" allowBlank="1" showInputMessage="1" showErrorMessage="1" sqref="N6:N9" xr:uid="{00000000-0002-0000-0100-000000000000}">
      <formula1>"Quoted,Ordered,Shipped,Received"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Performance Dashboard</vt:lpstr>
      <vt:lpstr>Manager Status Report</vt:lpstr>
      <vt:lpstr>JULY-2026</vt:lpstr>
      <vt:lpstr>AUG-2026</vt:lpstr>
      <vt:lpstr>Attendance Sheet</vt:lpstr>
      <vt:lpstr>Inventory</vt:lpstr>
      <vt:lpstr>Purchase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Jithin</dc:creator>
  <cp:lastModifiedBy>DELL</cp:lastModifiedBy>
  <cp:revision>1</cp:revision>
  <dcterms:created xsi:type="dcterms:W3CDTF">2026-02-03T14:22:26Z</dcterms:created>
  <dcterms:modified xsi:type="dcterms:W3CDTF">2026-09-19T07:01:10Z</dcterms:modified>
  <dc:language>en-US</dc:language>
</cp:coreProperties>
</file>